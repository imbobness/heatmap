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dees1\Downloads\"/>
    </mc:Choice>
  </mc:AlternateContent>
  <xr:revisionPtr revIDLastSave="0" documentId="13_ncr:1_{595A3804-8D55-453E-BC32-22D123A9AF9C}" xr6:coauthVersionLast="47" xr6:coauthVersionMax="47" xr10:uidLastSave="{00000000-0000-0000-0000-000000000000}"/>
  <bookViews>
    <workbookView xWindow="25080" yWindow="-120" windowWidth="25440" windowHeight="15270" firstSheet="1" activeTab="1" xr2:uid="{00000000-000D-0000-FFFF-FFFF00000000}"/>
  </bookViews>
  <sheets>
    <sheet name="Matrix Summary" sheetId="1" r:id="rId1"/>
    <sheet name="Migration Matrix" sheetId="2" r:id="rId2"/>
    <sheet name="Sheet1" sheetId="3" r:id="rId3"/>
    <sheet name="Sheet6" sheetId="4" r:id="rId4"/>
    <sheet name="Sheet2" sheetId="5" r:id="rId5"/>
    <sheet name="Sheet3" sheetId="6" r:id="rId6"/>
    <sheet name="Sheet4" sheetId="7" r:id="rId7"/>
    <sheet name="Sheet5" sheetId="8" r:id="rId8"/>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2" i="1"/>
  <c r="B11" i="1"/>
  <c r="B10" i="1"/>
  <c r="B9" i="1"/>
  <c r="B8" i="1"/>
  <c r="B7" i="1"/>
  <c r="B6" i="1"/>
</calcChain>
</file>

<file path=xl/sharedStrings.xml><?xml version="1.0" encoding="utf-8"?>
<sst xmlns="http://schemas.openxmlformats.org/spreadsheetml/2006/main" count="9033" uniqueCount="1516">
  <si>
    <t>Wonderware to Canary Migration Control Summary</t>
  </si>
  <si>
    <t>Purpose</t>
  </si>
  <si>
    <t>Control view of database objects identified in the existing workbook. Candidate replacements are not treated as approved until validated.</t>
  </si>
  <si>
    <t>Metric</t>
  </si>
  <si>
    <t>Count</t>
  </si>
  <si>
    <t>Recommended control sequence</t>
  </si>
  <si>
    <t>Objects in matrix</t>
  </si>
  <si>
    <t>1. Confirm lifecycle: current, backup, duplicate, or obsolete.</t>
  </si>
  <si>
    <t>Direct history/view hits</t>
  </si>
  <si>
    <t>2. Confirm exact VISUSJANAW0001 Canary tag mapping.</t>
  </si>
  <si>
    <t>Rewrite required</t>
  </si>
  <si>
    <t>3. Validate candidate replacement signatures and aggregation semantics.</t>
  </si>
  <si>
    <t>Replacement exists - validate</t>
  </si>
  <si>
    <t>4. Rewrite direct Runtime/History queries against CANARY_HISTORIAN.</t>
  </si>
  <si>
    <t>Canary object - validate</t>
  </si>
  <si>
    <t>5. Compare Wonderware and Canary outputs for matching windows.</t>
  </si>
  <si>
    <t>Review retirement</t>
  </si>
  <si>
    <t>6. Redirect SQL Agent jobs and downstream callers only after validation.</t>
  </si>
  <si>
    <t>Analysis required</t>
  </si>
  <si>
    <t>7. Re-run inventory until no production dependency remains.</t>
  </si>
  <si>
    <t>SQL Agent referenced</t>
  </si>
  <si>
    <t>Migration ID</t>
  </si>
  <si>
    <t>Database</t>
  </si>
  <si>
    <t>Schema</t>
  </si>
  <si>
    <t>Legacy Object</t>
  </si>
  <si>
    <t>Object Type</t>
  </si>
  <si>
    <t>GT Scope</t>
  </si>
  <si>
    <t>Functional Role</t>
  </si>
  <si>
    <t>VISUSJANAW0002 Ref</t>
  </si>
  <si>
    <t>Legacy Historian Ref</t>
  </si>
  <si>
    <t>Direct History/View Hit</t>
  </si>
  <si>
    <t>Canary Ref in Current Object</t>
  </si>
  <si>
    <t>Reference Occurrences</t>
  </si>
  <si>
    <t>SQL Agent Job(s)</t>
  </si>
  <si>
    <t>Lifecycle Indicator</t>
  </si>
  <si>
    <t>Candidate Replacement</t>
  </si>
  <si>
    <t>Replacement Basis</t>
  </si>
  <si>
    <t>Confidence</t>
  </si>
  <si>
    <t>Migration Method</t>
  </si>
  <si>
    <t>Migration Status</t>
  </si>
  <si>
    <t>Owner</t>
  </si>
  <si>
    <t>Validation Result</t>
  </si>
  <si>
    <t>Notes</t>
  </si>
  <si>
    <t>MIG-0001</t>
  </si>
  <si>
    <t>ManufacturingDB</t>
  </si>
  <si>
    <t>dbo</t>
  </si>
  <si>
    <t>GetTableauHourlyValue_2GT</t>
  </si>
  <si>
    <t>SQL_SCALAR_FUNCTION</t>
  </si>
  <si>
    <t>2GT</t>
  </si>
  <si>
    <t>Tableau reporting</t>
  </si>
  <si>
    <t>Yes</t>
  </si>
  <si>
    <t>No</t>
  </si>
  <si>
    <t>Current/undetermined</t>
  </si>
  <si>
    <t>New Canary-compatible wrapper required</t>
  </si>
  <si>
    <t>No same-name Canary implementation identified</t>
  </si>
  <si>
    <t>Low</t>
  </si>
  <si>
    <t>Rewrite direct Wonderware query for CANARY_HISTORIAN; preserve aggregation and time-window behavior</t>
  </si>
  <si>
    <t>e Date: 2024/07/15   Description: Function to return the hourly value for a tag given two dates and a TagName for        lines using historian server VISUSJANAW0002 for Tabluea Reports    DECLARE @TagValue INT  EXEC @TagValue= dbo.GetTableauHourlyVal | *******************************************/     IF @TagName LIKE '%Statistics.ShiftForecast%'      BEGIN    SELECT @fltHourValue = vah.value    FROM VISUSJANAW0002.Runtime.dbo.v_AnalogHistory vah    WHERE vah.tagname  = @TagName    AND vah.wwRetr</t>
  </si>
  <si>
    <t>MIG-0002</t>
  </si>
  <si>
    <t>GetTableauHourlyValue_WVISUS2GTSER4H</t>
  </si>
  <si>
    <t>MIG-0003</t>
  </si>
  <si>
    <t>Get_FMD_HourlyValue_2GT</t>
  </si>
  <si>
    <t>Calculation function</t>
  </si>
  <si>
    <t xml:space="preserve">ion to return the hourly value for a tag given two dates and a TagName for        Foreign Matter Data for all 2GT Loader from server replicate server VISUSJANAW0002      ******************************************************************************** | ***************************************************/     IF @TagName LIKE '%_Yield_%'      BEGIN       SELECT @fltHourValue = MAX(vah.value)     FROM VISUSJANAW0002.Runtime.dbo. v_AnalogHistory vah    WHERE vah.tagname  = @TagName    AND DateTime </t>
  </si>
  <si>
    <t>MIG-0004</t>
  </si>
  <si>
    <t>getCurrentValue_2GT</t>
  </si>
  <si>
    <t>Historian access / calculation</t>
  </si>
  <si>
    <t>*****   Author:   Thure Hoeckelberg   Create date: 2024/07/15   Description: Changed to retrieve hourly data for all 2GT from server replicate server VISUSJANAW0002     DECLARE @TagValue INT  EXEC @TagValue= dbo.getCurrentValue_2GT 'iFoilRejectsLastS | ****************************************************************************************************/   SELECT @fltCurrValue = MAX(vah.value)    FROM VISUSJANAW0002.Runtime.dbo.v_AnalogHistory vah    WHERE vah.tagname = @strTagName   AND vah.quali</t>
  </si>
  <si>
    <t>MIG-0005</t>
  </si>
  <si>
    <t>getCurrentValue_WVISUS2GTSER4H</t>
  </si>
  <si>
    <t>MIG-0006</t>
  </si>
  <si>
    <t>getHourlyValue_2GT</t>
  </si>
  <si>
    <t>*****   Author:   Thure Hoeckelberg   Create date: 2024/07/15   Description: Changed to retrieve hourly data for all 2GT from server replicate server VISUSJANAW0002    DECLARE @TagValue INT  EXEC @TagValue= dbo.getHourlyValue_2GT 'GP0_GOODCOUNT1',    | E ('%Yield%') OR @strTagName LIKE ('%LotNumber%')       OR @strTagName LIKE ('%LotNum%')    BEGIN     SELECT @fltHourValue = MAX(vah.value)      FROM VISUSJANAW0002.Runtime.dbo. v_AnalogHistory vah     WHERE vah.tagname  = @strTagName     AND Date</t>
  </si>
  <si>
    <t>MIG-0007</t>
  </si>
  <si>
    <t>getHourlyValue_WVISUS2GTSER4H</t>
  </si>
  <si>
    <t>MIG-0008</t>
  </si>
  <si>
    <t>getHourlyValue_WVISUS2GTSER4H_Drop</t>
  </si>
  <si>
    <t>Review archive/retirement</t>
  </si>
  <si>
    <t>Confirm unused; retire or exclude from production migration</t>
  </si>
  <si>
    <t>MIG-0009</t>
  </si>
  <si>
    <t>getTagValue_WVISUS2GTSER4H</t>
  </si>
  <si>
    <t>TBD</t>
  </si>
  <si>
    <t>No explicit Canary counterpart identified</t>
  </si>
  <si>
    <t>MIG-0010</t>
  </si>
  <si>
    <t>timeRangePartQty_2GT</t>
  </si>
  <si>
    <t>e Date: 2024/07/15   Description: Function to return the hourly value for a tag given two dates and a TagName for        lines using historian server VISUSJANAW0002    SHIFT PRODUCTION. New functionality takes into account that PLC clock resets at di | lueAtTimeRangeEnd AS INT   DECLARE @pMaxValueAtTimeRangeStart AS INT                  SELECT @pMaxValueWithinTimeRange=ISNULL(MAX(value),0)      FROM VISUSJANAW0002.Runtime.dbo.History    WHERE TagName  = @pTagName       AND DateTime BETWEEN  @pDa</t>
  </si>
  <si>
    <t>MIG-0011</t>
  </si>
  <si>
    <t>timeRangePartQty_2GT_Drop</t>
  </si>
  <si>
    <t>MIG-0012</t>
  </si>
  <si>
    <t>timeRangePartQty_WVISUS2GTSER4H</t>
  </si>
  <si>
    <t>MIG-0013</t>
  </si>
  <si>
    <t>ALIByHoursReportDataSource2GT</t>
  </si>
  <si>
    <t>SQL_STORED_PROCEDURE</t>
  </si>
  <si>
    <t>Report / data source</t>
  </si>
  <si>
    <t>Inspect dependency chain and replace legacy historian access</t>
  </si>
  <si>
    <t>ion: Changed to pull Data from new historian server WVISUS2GTSER4H    Author:   Pedro DiazCruz  Created:   202/07/16  Description: Changed Servers to VISUSJANAW0002                    EXEC ALIByHoursReportDataSource2GT 5, '07/02/2024 C'  ************ | _date, cav1, cav2, cav3, cav4, cav5, cav6, cav7,              cav8, cav9, cav10, cav11, cav12, cav13, cav14, cav15, cav16              FROM OpenQuery(VISUSJANAW0002,                ''SELECT * FROM                OpenQuery(INSQL,                '''</t>
  </si>
  <si>
    <t>MIG-0014</t>
  </si>
  <si>
    <t>ALILPHDataLoader2GT</t>
  </si>
  <si>
    <t>Loader / ETL</t>
  </si>
  <si>
    <t>, sample_date, cav1,cav2,cav3,cav4,cav5,cav6,cav7,cav8,      cav9,cav10,cav11,cav12,cav13,cav14,cav15,cav16,ProductionDate,TeamID      FROM OpenQuery(VISUSJANAW0002,      ''SELECT DISTINCT *,CAST('''''+@ProductionDate+''''' AS DATETIME) ProductionDat</t>
  </si>
  <si>
    <t>MIG-0015</t>
  </si>
  <si>
    <t>ALIYield2GT</t>
  </si>
  <si>
    <t>Other migration dependency</t>
  </si>
  <si>
    <t>: Changed to pull Data from new historian server WVISUS2GTSER4H     Author:   Pedro DiazCruz   Created:   202/07/16   Description: Changed Servers to VISUSJANAW0002    EXEC ALIYield2GT '11/24/2024 08:00:00','11/24/2024 09:00:00',01,0  *************** | SqlStatement=         'SELECT sample_date,cav1,cav2,cav3,cav4,cav5,cav6,cav7,cav8, cav9,cav10,cav11,cav12,cav13,cav14,cav15,cav16      FROM OpenQuery(VISUSJANAW0002,      ''SELECT * FROM OPENQUERY(INSQL,''''SELECT CONVERT(VARCHAR(25),DateTime,120)</t>
  </si>
  <si>
    <t>MIG-0016</t>
  </si>
  <si>
    <t>ALIYield2GT_DROP</t>
  </si>
  <si>
    <t>: Changed to pull Data from new historian server WVISUS2GTSER4H     Author:   Pedro DiazCruz   Created:   202/07/16   Description: Changed Servers to VISUSJANAW0002    EXEC ALIYield2GT_DROP '08/05/2024 06:00:00','08/05/2024 09:00:00',07,0  ********** | SqlStatement=         'SELECT sample_date,cav1,cav2,cav3,cav4,cav5,cav6,cav7,cav8, cav9,cav10,cav11,cav12,cav13,cav14,cav15,cav16      FROM OpenQuery(VISUSJANAW0002,      ''SELECT * FROM OPENQUERY(INSQL,''''SELECT CONVERT(VARCHAR(25),DateTime,120)</t>
  </si>
  <si>
    <t>MIG-0017</t>
  </si>
  <si>
    <t>CellPerformanceAndLossesByTeamDate2GTDataSource</t>
  </si>
  <si>
    <t>4   Description: Changed to pull Data from new historian server     Author:   Pedro DiazCruz   Created:   202/07/16   Description: Changed Servers to VISUSJANAW0002      EXEC CellPerformanceAndLossesByTeamDate2GTDataSource '05/20/2026 D','2GTCellsInP | ROM db_CurrentPerformance_cursor INTO @LineID, @CellCode, @TagName   WHILE @@FETCH_STATUS = 0      BEGIN        SELECT @TagValue= MAX(value)     FROM VISUSJANAW0002.Runtime.dbo.History    WHERE TagName = @TagName    AND DateTime &gt;= DATEADD(mi,15,@</t>
  </si>
  <si>
    <t>MIG-0018</t>
  </si>
  <si>
    <t>FoilRejDataLoader2GT</t>
  </si>
  <si>
    <t>MIG-0019</t>
  </si>
  <si>
    <t>HS_Data_2GT_Proc</t>
  </si>
  <si>
    <t>rian.       Author:   Thure Hoeckelberg   Modified:    2024/07/15   Description: Changed to retrieve hourly data for all from server replicate server VISUSJANAW0002      SELECT *    FROM HS_Data_2GT        EXEC HS_Data_2GT_Proc    ******************* |     SELECT @ProductionDate, @LineID, @DateTimeFrom, DateTime AS CurrDate, @TagName,          @Comments, ISNULL(value,0) AS TagValue              FROM VISUSJANAW0002.Runtime.dbo.History              WHERE TagName = @TagName              AND DateTim</t>
  </si>
  <si>
    <t>MIG-0020</t>
  </si>
  <si>
    <t>HeatMap2GTCurrentHourGridViewDataSource</t>
  </si>
  <si>
    <t>Heat map reporting</t>
  </si>
  <si>
    <t>SqlStatement=         'SELECT sample_date,cav1,cav2,cav3,cav4,cav5,cav6,cav7,cav8, cav9,cav10,cav11,cav12,cav13,cav14,cav15,cav16      FROM OpenQuery(VISUSJANAW0002,      ''SELECT * FROM OPENQUERY(INSQL,''''SELECT CONVERT(VARCHAR(25),DateTime,120) sa</t>
  </si>
  <si>
    <t>MIG-0021</t>
  </si>
  <si>
    <t>HeatMap2GTGridView12or48HourDataSource</t>
  </si>
  <si>
    <t>rName   -- WHILE @@FETCH_STATUS = 0      -- BEGIN      -- EXEC @TagValue= dbo.TagValue_HourData_2GT @DateTimeFrom, @DateTimeTo,    --      @TagName, 'VISUSJANAW0002'       --  INSERT INTO @heatMap2GTSourceRecords   --  SELECT @passLineID, @TagName, @</t>
  </si>
  <si>
    <t>MIG-0022</t>
  </si>
  <si>
    <t>HeatMap2GTGridView12or48HourDataSource_Drop</t>
  </si>
  <si>
    <t>MIG-0023</t>
  </si>
  <si>
    <t>HeatMap2GTGridViewDataSource</t>
  </si>
  <si>
    <t>es.      Author:   Thure Hoeckelberg   Modified:   2024/07/15   Description: Changed to retrieve hourly data for all 2GT from server replicate server VISUSJANAW0002 from        TagValue_2GT and getTagHourValue_2GT      EXEC HeatMap2GTGridViewDataSour |    -- WHILE @@FETCH_STATUS = 0      -- BEGIN          --  EXEC @TagValue= dbo.TagValue_HourData_2GT @DateTimeFrom, @DateTimeTo,    --      @TagName, 'VISUSJANAW0002'   --   --EXEC @TagValue=dbo.TagValue_2GT @DateTimeFrom,@DateTimeTo,@TagName,@Serv</t>
  </si>
  <si>
    <t>MIG-0024</t>
  </si>
  <si>
    <t>HeatMap2GTGridViewDataSource_Drop</t>
  </si>
  <si>
    <t>es.      Author:   Thure Hoeckelberg   Modified:   2024/07/15   Description: Changed to retrieve hourly data for all 2GT from server replicate server VISUSJANAW0002 from        TagValue_2GT and getTagHourValue_2GT      EXEC HeatMap2GTGridViewDataSour</t>
  </si>
  <si>
    <t>MIG-0025</t>
  </si>
  <si>
    <t>HeatMap2GTLast48HoursALI_HS_Z21Loader</t>
  </si>
  <si>
    <t>HeatMap2GTLast48HoursLoader</t>
  </si>
  <si>
    <t>d  2023/10/24      Description: added to pull lots from new MSP     Author:   Pedro DiazCruz   Created:   202/07/16   Description: Changed Servers to VISUSJANAW0002     SELECT *   FROM heatMap2GTLast48HoursALI_HS_Z21   ORDER BY DateTimeTo DESC    EXE | RT INTO heatMap2GTLast48HoursALI_HS_Z21          SELECT TOP(1) @pLineID,'HSYield',@pDateTimeFrom,@pDateTimeTo, ISNULL(ROUND(Value,1),0)          FROM VISUSJANAW0002.Runtime.dbo.v_AnalogHistory          WHERE TagName=@pTagName          AND wwRetrie</t>
  </si>
  <si>
    <t>MIG-0026</t>
  </si>
  <si>
    <t>HeatMap2GTLast48HoursALI_HS_Z21Loader_Org</t>
  </si>
  <si>
    <t>MIG-0027</t>
  </si>
  <si>
    <t>HeatMap2GTReport</t>
  </si>
  <si>
    <t xml:space="preserve">4   Description: Changed to pull Data from new historian server     Author:   Pedro DiazCruz   Created:   202/07/16   Description: Changed Servers to VISUSJANAW0002     EXEC HeatMap2GTReport '2024-07-10', '2024-07-19'  ******************************* | H_STATUS = 0       BEGIN             SET @error_location='3'       EXEC @TagNumeratorValue=dbo.TagValue_2GT @DateTimeFrom,@DateTimeTo,@TagNumerator, 'VISUSJANAW0002'              SET @error_location='4'       IF @TagDenominator IS NOT NULL        </t>
  </si>
  <si>
    <t>MIG-0028</t>
  </si>
  <si>
    <t>HeatMap2GTShiftPredictCFPMandIPC</t>
  </si>
  <si>
    <t>MIG-0029</t>
  </si>
  <si>
    <t>HeatMap2GTShiftPredictCFPMandOdEE</t>
  </si>
  <si>
    <t>/04   Description: Changed to pull Data from new historian servers    Author:   Pedro DiazCruz  Created:   202/07/16  Description: Changed Servers to VISUSJANAW0002     EXEC HeatMap2GTShiftPredictCFPMandOdEE 3  *************************************** | LineID)         SELECT @CurrentValue =Z18_CurrentShift   FROM SPN2GTData   WHERE SortOrder=@LineID      --SELECT @CurrentValue = MAX(value)    --FROM VISUSJANAW0002.Runtime.dbo.v_AnalogHistory    --WHERE TagName  =  (SELECT TagName    --       FRO</t>
  </si>
  <si>
    <t>MIG-0030</t>
  </si>
  <si>
    <t>HeatMap2GTShiftPredictNumber</t>
  </si>
  <si>
    <t>plan to accomidate multiple products and taregts for the month      Author:   Pedro DiazCruz   Created:   202/07/16   Description: Changed Servers to VISUSJANAW0002     EXEC HeatMap2GTShiftPredictNumber 1  ******************************************** | ECLARE @BusinessPlan AS INT   DECLARE @PredictedLPS AS INT   DECLARE @IPCLPH AS INT    BEGIN TRY            SELECT @CurrentValue = MAX(value)    FROM VISUSJANAW0002.Runtime.dbo.v_AnalogHistory   WHERE TagName  =  (SELECT mlt.TagName           FROM</t>
  </si>
  <si>
    <t>MIG-0031</t>
  </si>
  <si>
    <t>LPM_2GT_Data_Loader</t>
  </si>
  <si>
    <t>onDate, @TeamID, @LineID,         LEFT(CONVERT(VARCHAR, DateTime, 21),16) AS SampleDateTime,         @CellZone, ISNULL(Value,0) AS LPM_Qty       FROM VISUSJANAW0002.Runtime.dbo.History       WHERE TagName =@TagName       AND wwRetrievalMode = 'Cyclic</t>
  </si>
  <si>
    <t>MIG-0032</t>
  </si>
  <si>
    <t>LinePulse2GT</t>
  </si>
  <si>
    <t>MIG-0033</t>
  </si>
  <si>
    <t>ShiftBrief2GTTableLoader</t>
  </si>
  <si>
    <t>nth     Author:   Thure Hoeckelberg   Modified:    2024/07/15   Description: Changed to retrieve hourly data for all 3GT from server replicate server VISUSJANAW0002    EXEC ShiftBrief2GTTableLoader  *************************************************** | eDateTime, Cav1, Cav2, Cav3, Cav4, Cav5, Cav6, Cav7,              Cav8, Cav9, Cav10, Cav11, Cav12, Cav13, Cav14, Cav15, Cav16          FROM OpenQuery(VISUSJANAW0002,              ''SELECT * FROM  OpenQuery(INSQL,                     ''''SELECT CON</t>
  </si>
  <si>
    <t>MIG-0034</t>
  </si>
  <si>
    <t>Tableau2GTDataLoader</t>
  </si>
  <si>
    <t>TableauDataLoader</t>
  </si>
  <si>
    <t>ble     Author:   Thure Hoeckelberg   Modified:    2024/07/15   Description: Changed to retrieve hourly data for all 2GT from server replicate server VISUSJANAW0002     EXEC Tableau2GTDataLoader  ******************************************************</t>
  </si>
  <si>
    <t>MIG-0035</t>
  </si>
  <si>
    <t>TagValue_2GT</t>
  </si>
  <si>
    <t>TagValue_Canary</t>
  </si>
  <si>
    <t>Shared Canary candidate; signature/semantics must be verified</t>
  </si>
  <si>
    <t>Medium</t>
  </si>
  <si>
    <t>Validate replacement, compare outputs, then redirect callers/jobs</t>
  </si>
  <si>
    <t>for 2GT    Author:   Thure Hoeckelberg  Modified:   2024/07/15  Description: Changed to retrieve hourly data for all 2GT from server replicate server VISUSJANAW0002    SELECT *  FROM maint_2GTHeatMapTags  SELECT *  FROM maint_2GTHeatMapReportConfigur | portConfiguration    DECLARE @TagValue INT  EXEC @TagValue= dbo.TagValue_2GT '2025-04-18 07:00',  '2025-04-18 08:00',           'L02_iGoodCt_PLCDM', 'VISUSJANAW0002'  SELECT @TagValue  **************************************************************</t>
  </si>
  <si>
    <t>MIG-0036</t>
  </si>
  <si>
    <t>TagValue_2GT_Org</t>
  </si>
  <si>
    <t xml:space="preserve"> 3GT     Author:   Thure Hoeckelberg   Modified:   2024/07/15   Description: Changed to retrieve hourly data for all 2GT from server replicate server VISUSJANAW0002    SELECT *  FROM maint_3GTHeatMapTags  SELECT *  FROM maint_3GTHeatMapReportConfigur</t>
  </si>
  <si>
    <t>MIG-0037</t>
  </si>
  <si>
    <t>TagValue_HourData_2GT</t>
  </si>
  <si>
    <t>TagValue_HourData_Canary</t>
  </si>
  <si>
    <t>*****   Author:   Thure Hoeckelberg   Modified:    2024/07/15   Description: Changed to retrieve hourly data for all 2GT from server replicate server VISUSJANAW0002       DECLARE @TagValue INT  EXEC @TagValue= dbo.TagValue_HourData_2GT '2021-02-23 05</t>
  </si>
  <si>
    <t>MIG-0038</t>
  </si>
  <si>
    <t>ip2GTCellPerformance12HoursDataSource</t>
  </si>
  <si>
    <t>r iPad)     Author:   Thure Hoeckelberg   Modified:    2024/07/15   Description: Changed to retrieve hourly data for all from server replicate server VISUSJANAW0002     EXEC ip2GTCellPerformance12HoursDataSource 'Line02'  **************************** |         SET @StartTime= DATEADD(ss,-10,@To)             SET @EndTime  = @To          END                SELECT @ReturnedValue=MAX(h.Value)       FROM VISUSJANAW0002.Runtime.dbo.History h      WHERE h.DateTime BETWEEN @StartTime AND @EndTime      A</t>
  </si>
  <si>
    <t>MIG-0039</t>
  </si>
  <si>
    <t>CellPulse_2GT</t>
  </si>
  <si>
    <t>SQL_TABLE_VALUED_FUNCTION</t>
  </si>
  <si>
    <t>Cell / zone analytics</t>
  </si>
  <si>
    <t>*****   Author:   Thure Hoeckelberg   Create date: 2024/07/15   Description: Changed to retrieve hourly data for all 2GT from server replicate server VISUSJANAW0002  ************************************************************************************ | *********************************/   INSERT INTO @ReturnedRecordSet(SampleDateTime,SampleValue)   SELECT DateTime, Value --remove milliseconds   FROM VISUSJANAW0002.Runtime.dbo.History   WHERE TagName=@TagName   AND wwRetrievalMode = 'Delta'   AND</t>
  </si>
  <si>
    <t>MIG-0040</t>
  </si>
  <si>
    <t>CellPulse_WVISUS2GTSER4H</t>
  </si>
  <si>
    <t>MIG-0041</t>
  </si>
  <si>
    <t>CellZoneNoRunTime_2GT</t>
  </si>
  <si>
    <t xml:space="preserve">*****   Author:   Thure Hoeckelberg   Create date: 2024/07/15   Description: Changed to retrieve hourly data for all 2GT from server replicate server VISUSJANAW0002  ************************************************************************************ | T IDENTITY(1,1),SampleDateTime DATETIME,LensQty INT)              INSERT INTO @RecordSet(SampleDateTime,LensQty)       SELECT DateTime, Value    FROM VISUSJANAW0002.Runtime.dbo.History    WHERE TagName=@TagName    AND wwRetrievalMode = 'Cyclic'   </t>
  </si>
  <si>
    <t>MIG-0042</t>
  </si>
  <si>
    <t>CellZoneNoRunTime_WVISUS2GTSER4H</t>
  </si>
  <si>
    <t>MIG-0043</t>
  </si>
  <si>
    <t>getTagHourValueWVISUS2GTSER4H</t>
  </si>
  <si>
    <t>MIG-0044</t>
  </si>
  <si>
    <t>getTagHourValue_2GT</t>
  </si>
  <si>
    <t>*****   Author:   Thure Hoeckelberg   Create date: 2024/07/15   Description: Changed to retrieve hourly data for all 2GT from server replicate server VISUSJANAW0002       SELECT * FROM getTagHourValue_2GT ('L01_iGoodCt_PLCDM',              '2024-07-1 |  DATEPART(mi, @pStartDateTime) IN ('00')     AND DATEPART(ss, @pStartDateTime) IN ('00')      BEGIN    SELECT @LensNmb =MAX(ISNULL(value,0))     FROM VISUSJANAW0002.Runtime.dbo.v_AnalogHistory    WHERE TagName = @pTagName    AND DateTime &gt;= CAST(D</t>
  </si>
  <si>
    <t>MIG-0045</t>
  </si>
  <si>
    <t>GetTableauHourlyValue_3GT</t>
  </si>
  <si>
    <t>3GT</t>
  </si>
  <si>
    <t>e date: 2024/07/15   Description: Function to return the hourly value for a tag given two dates and a TagName for        lines using historian server VISUSJANAW0002 for Tabluea Reports    DECLARE @TagValue INT  EXEC @TagValue= dbo.GetTableauHourlyVal | ***************************************************/     IF @TagName LIKE '%Statistics.ShiftForecast%'       SELECT @fltHourValue = vah.value    FROM VISUSJANAW0002.Runtime.dbo.v_AnalogHistory vah    WHERE vah.tagname  = @TagName    AND vah.wwRetr</t>
  </si>
  <si>
    <t>MIG-0046</t>
  </si>
  <si>
    <t>GetTableauHourlyValue_VISUSJP3GTHIST</t>
  </si>
  <si>
    <t>MIG-0047</t>
  </si>
  <si>
    <t>GetTableauHourlyValue_VISUSJP3GTHIST2</t>
  </si>
  <si>
    <t>MIG-0048</t>
  </si>
  <si>
    <t>GetTableauHourlyValue_WVISUS3GTSER4H</t>
  </si>
  <si>
    <t>MIG-0049</t>
  </si>
  <si>
    <t>Get_FMD_HourlyValue_3GT</t>
  </si>
  <si>
    <t xml:space="preserve">ion to return the hourly value for a tag given two dates and a TagName for        Foreign Matter Data for all 3GT Loader from server replicate server VISUSJANAW0002      ******************************************************************************** | ***************************************************/     IF @TagName LIKE '%_Yield_%'      BEGIN       SELECT @fltHourValue = MAX(vah.value)     FROM VISUSJANAW0002.Runtime.dbo. v_AnalogHistory vah    WHERE vah.tagname  = @TagName    AND DateTime </t>
  </si>
  <si>
    <t>MIG-0050</t>
  </si>
  <si>
    <t>getCurrentValue_3GT</t>
  </si>
  <si>
    <t>*****   Author:   Thure Hoeckelberg   Create date: 2024/07/15   Description: Changed to retrieve hourly data for all 3GT from server replicate server VISUSJANAW0002          DECLARE @TagValue INT  EXEC @TagValue=dbo.getCurrentValue_3GT 'L27_PLC1_Glob | ****************************************************************************************************/   SELECT @fltCurrValue = MAX(vah.value)    FROM VISUSJANAW0002.Runtime.dbo.v_AnalogHistory vah    WHERE vah.tagname = @strTagName   AND vah.quali</t>
  </si>
  <si>
    <t>MIG-0051</t>
  </si>
  <si>
    <t>getCurrentValue_VISUSJP3GTHIST</t>
  </si>
  <si>
    <t>MIG-0052</t>
  </si>
  <si>
    <t>getCurrentValue_VISUSJP3GTHIST2</t>
  </si>
  <si>
    <t>MIG-0053</t>
  </si>
  <si>
    <t>getCurrentValue_WVISUS3GTSER4H</t>
  </si>
  <si>
    <t>MIG-0054</t>
  </si>
  <si>
    <t>getHourlyValue_3GT</t>
  </si>
  <si>
    <t>*****   Author:   Thure Hoeckelberg   Create date: 2024/07/15   Description: Changed to retrieve hourly data for all 3GT from server replicate server VISUSJANAW0002    DECLARE @TagValue INT  EXEC @TagValue= dbo.getHourlyValue_3GT 'BP3_LOAD_OUT_CNT',  | LIKE ('%Yield%')    OR @strTagName LIKE ('%LotNumber%')    OR @strTagName LIKE ('%LotNum%')       BEGIN     SELECT @fltHourValue = vah.value     FROM VISUSJANAW0002.Runtime.dbo. v_AnalogLive vah     WHERE vah.tagname  = @strTagName      RETURN @fl</t>
  </si>
  <si>
    <t>MIG-0055</t>
  </si>
  <si>
    <t>getHourlyValue_VISUSJP3GTHIST</t>
  </si>
  <si>
    <t>MIG-0056</t>
  </si>
  <si>
    <t>getHourlyValue_WVISUS3GTSER4H</t>
  </si>
  <si>
    <t>MIG-0057</t>
  </si>
  <si>
    <t>getTagValue_VISUSJP3GTHIST</t>
  </si>
  <si>
    <t>MIG-0058</t>
  </si>
  <si>
    <t>getTagValue_VISUSJP3GTHIST2</t>
  </si>
  <si>
    <t>MIG-0059</t>
  </si>
  <si>
    <t>getTagValue_WVISUS3GTSER4H</t>
  </si>
  <si>
    <t>MIG-0060</t>
  </si>
  <si>
    <t>timeRangePartQty_3GT</t>
  </si>
  <si>
    <t>MIG-0061</t>
  </si>
  <si>
    <t>timeRangePartQty_VISUSJP3GTHIST</t>
  </si>
  <si>
    <t>MIG-0062</t>
  </si>
  <si>
    <t>timeRangePartQty_VISUSJP3GTHIST2</t>
  </si>
  <si>
    <t>MIG-0063</t>
  </si>
  <si>
    <t>timeRangePartQty_WVISUS3GTSER4H</t>
  </si>
  <si>
    <t>MIG-0064</t>
  </si>
  <si>
    <t>ALIByHoursReportDataSource3GT</t>
  </si>
  <si>
    <t xml:space="preserve">05/23   Description: Added new historian server WVISUS3GTSER4H      Author:   Pedro DiazCruz   Created:   202/07/16   Description: Changed Servers to VISUSJANAW0002        EXEC ALIByHoursReportDataSource3GT 15,'07/13/2024 B'  ************************ | AS VARCHAR(2)),2)+'-'+          RIGHT('0'+CAST(DATEPART(hh,DATEADD(hh,1,h.DateTime)) AS VARCHAR(2)),2),          mac.comments, MAX(h.Value)      FROM VISUSJANAW0002.Runtime.dbo.History h      LEFT JOIN maint_LineTag mlt      JOIN maint_Line ml ON </t>
  </si>
  <si>
    <t>MIG-0065</t>
  </si>
  <si>
    <t>ALILPHDataLoader3GT</t>
  </si>
  <si>
    <t xml:space="preserve">              hour_lensNumber, hour_aliData, and shift_alidata     Author:   Pedro DiazCruz   Created:   2022/03/09   Description: Changed Servers to VISUSJANAW0002, replaced @Tagname to point to getTagHourValue_3GT    EXEC ALILPHDataLoader3GT  *****</t>
  </si>
  <si>
    <t>MIG-0066</t>
  </si>
  <si>
    <t>ALILPHDataLoader3GT_Org</t>
  </si>
  <si>
    <t>MIG-0067</t>
  </si>
  <si>
    <t>HeatMap3GTGridView12or48HourDataSource</t>
  </si>
  <si>
    <t xml:space="preserve">  Description: Changed remove all references from IPC to OdEE     Author:   Pedro Diaz-Cruz   Modified:   07/25/2024   Description: Changed Server to VISUSJANAW0002, Commented out DateTimeFrom with (+':00')    EXEC HeatMap3GTGridView12or48HourDataSou | e   -- WHILE @@FETCH_STATUS = 0      -- BEGIN          -- EXEC @TagValue= dbo.TagValue_HourData_3GT @DateTimeFrom, @DateTimeTo,    --      @TagName, 'VISUSJANAW0002'       -- INSERT INTO @heatMap3GTSourceRecords  --    SELECT @LineID, @TagName, @D</t>
  </si>
  <si>
    <t>MIG-0068</t>
  </si>
  <si>
    <t>HeatMap3GTGridView12or48HourDataSource_Drop</t>
  </si>
  <si>
    <t>MIG-0069</t>
  </si>
  <si>
    <t>HeatMap3GTGridViewDataSource</t>
  </si>
  <si>
    <t xml:space="preserve">, @ServerName    WHILE @@FETCH_STATUS = 0       BEGIN       EXEC @TagValue= dbo.TagValue_HourData_3GT @DateTimeFrom, @DateTimeTo,          @TagName, 'VISUSJANAW0002'   --EXEC @TagValue=dbo.TagValue @DateTimeFrom,@DateTimeTo,@TagName,@ServerName      </t>
  </si>
  <si>
    <t>MIG-0070</t>
  </si>
  <si>
    <t>HeatMap3GTLast48HoursLoader_Canary</t>
  </si>
  <si>
    <t>Current object already references Canary</t>
  </si>
  <si>
    <t>High</t>
  </si>
  <si>
    <t>Validate current Canary implementation and remove residual legacy access</t>
  </si>
  <si>
    <t>MIG-0071</t>
  </si>
  <si>
    <t>HeatMap3GTLast48HoursLoader_Canary_RobertDees</t>
  </si>
  <si>
    <t>MIG-0072</t>
  </si>
  <si>
    <t>HeatMap3GTShiftPredictCFPMandOdEE</t>
  </si>
  <si>
    <t xml:space="preserve"> is used a a data source for 3GT Heat Map shift predict numbers     Author:   Pedro DiazCruz   Created:   202/07/16   Description: Changed Servers to VISUSJANAW0002       EXEC HeatMap3GTShiftPredictCFPMandOdEE 34  ************************************ | ***************/      --SELECT @InSQLName=InSQLName   --FROM maint_LineTag   --WHERE LineID=@LineID     --SELECT @CurrentValue = MAX(value)    --FROM VISUSJANAW0002.Runtime.dbo.v_AnalogHistory   --WHERE TagName  =  (SELECT TagName    --       FROM</t>
  </si>
  <si>
    <t>MIG-0073</t>
  </si>
  <si>
    <t>LinePulse3GT</t>
  </si>
  <si>
    <t>MIG-0074</t>
  </si>
  <si>
    <t>Load3GTSPNDataToTable</t>
  </si>
  <si>
    <t>Load3GTSPNDataToTable_Canary</t>
  </si>
  <si>
    <t>Exact-name Canary counterpart</t>
  </si>
  <si>
    <t>MIG-0075</t>
  </si>
  <si>
    <t>MIG-0076</t>
  </si>
  <si>
    <t>Tableau3GTDataLoader</t>
  </si>
  <si>
    <t>de data from new historian server VISUSFMPWWHIS01 for FMP01        Author:   Pedro DiazCruz   Created:   2022/03/09   Description: Changed Servers to VISUSJANAW0002, replaced @Tagname to point to getTagHourValue_3GT     SELECT *   FROM Tableau3GTData</t>
  </si>
  <si>
    <t>MIG-0077</t>
  </si>
  <si>
    <t>Tableau3GTDataLoader_Drop</t>
  </si>
  <si>
    <t>MIG-0078</t>
  </si>
  <si>
    <t>TagValue_3GT</t>
  </si>
  <si>
    <t xml:space="preserve"> 3GT     Author:   Thure Hoeckelberg   Modified:   2024/07/15   Description: Changed to retrieve hourly data for all 3GT from server replicate server VISUSJANAW0002    SELECT *  FROM maint_3GTHeatMapTags  SELECT *  FROM maint_3GTHeatMapReportConfigur</t>
  </si>
  <si>
    <t>MIG-0079</t>
  </si>
  <si>
    <t>TagValue_3GT_Drop</t>
  </si>
  <si>
    <t xml:space="preserve"> 3GT     Author:   Thure Hoeckelberg   Modified:   2024/07/15   Description: Changed to retrieve hourly data for all 3GT from server replicate server VISUSJANAW0002    SELECT *  FROM maint_3GTHeatMapTags  SELECT *  FROM maint_3GTHeatMapReportConfigur | pReportConfiguration    DECLARE @TagValue INT  EXEC @TagValue= dbo.TagValue_3GT '2025-04-18 07:00',  '2025-04-18 08:00',           'AP1_GOODCOUNT2', 'VISUSJANAW0002'  SELECT @TagValue  **************************************************************</t>
  </si>
  <si>
    <t>MIG-0080</t>
  </si>
  <si>
    <t>TagValue_HourData_3GT</t>
  </si>
  <si>
    <t>*****   Author:   Thure Hoeckelberg   Modified:    2024/07/15   Description: Changed to retrieve hourly data for all 3GT from server replicate server VISUSJANAW0002       DECLARE @TagValue INT  EXEC @TagValue= dbo.TagValue_HourData_2GT '2021-02-23 05</t>
  </si>
  <si>
    <t>MIG-0081</t>
  </si>
  <si>
    <t>ZonePerformance3GTDataLoader</t>
  </si>
  <si>
    <t>)       Author:   Thure Hoeckelberg   Modified:    2024/07/15   Description: Changed to retrieve hourly data for all 3GT from server replicate server VISUSJANAW0002    EXEC ZonePerformance3GTDataLoader    ********************************************* | IF OBJECT_ID('tempdb..#ProductionDateTeam') IS NOT NULL DROP TABLE #ProductionDateTeam        DECLARE @ErrorLocation AS  VARCHAR(2)   DECLARE @SQLStmtVISUSJANAW0002 AS VARCHAR(MAX)   DECLARE @TagNameStringVISUSJANAW0002 VARCHAR(MAX)   DECLARE @Pro</t>
  </si>
  <si>
    <t>MIG-0082</t>
  </si>
  <si>
    <t>ZonePerformance3GTDataLoader_Brian</t>
  </si>
  <si>
    <t>MIG-0083</t>
  </si>
  <si>
    <t>ZonePerformance3GTDataLoader_Original</t>
  </si>
  <si>
    <t>MIG-0084</t>
  </si>
  <si>
    <t>ZonePerformanceAndLosses3GTDataSource</t>
  </si>
  <si>
    <t>ge)     Author:   Thure Hoeckelberg   Modified:    2024/07/15   Description: Changed to retrieve hourly data for all 3GT from server replicate server VISUSJANAW0002    EXEC ZonePerformanceAndLosses3GTDataSource '03/30/2023 A','01/01/1900','01/01/1900 | *************************/   DECLARE @DateTimeFrom DATETIME   DECLARE @DateTimeTo DATETIME     DECLARE @InSQLName VARCHAR(25)   DECLARE @TagNameStringVISUSJANAW0002 VARCHAR(MAX)   DECLARE @SQLStmtVISUSJANAW0002 AS VARCHAR(MAX)       CREATE TABLE #</t>
  </si>
  <si>
    <t>MIG-0085</t>
  </si>
  <si>
    <t>ZonePerformanceAndLosses3GTDataSource_Original</t>
  </si>
  <si>
    <t>MIG-0086</t>
  </si>
  <si>
    <t>ZonePerformanceDetails3GTDataSource</t>
  </si>
  <si>
    <t>MIG-0087</t>
  </si>
  <si>
    <t>ip3GTZonePerformance12HoursDataSource</t>
  </si>
  <si>
    <t xml:space="preserve"> used.      Author:   Thure Hoeckelberg   Modified:    2024/07/15   Description: Changed to retrieve hourly data for all from server replicate server VISUSJANAW0002     EXEC ip3GTZonePerformance12HoursDataSource '3GT TAM15'    *********************** | 'INSERT INTO #RecordSet (SampleDateTime,TagName,TagValue)       SELECT '''+CONVERT(VARCHAR(50),@DateTimeTo,121)+''',h.TagName,MAX(h.Value)       FROM VISUSJANAW0002.Runtime.dbo.History h       LEFT JOIN VISUSJANAW0002.Runtime.dbo.QualityMap qm    </t>
  </si>
  <si>
    <t>MIG-0088</t>
  </si>
  <si>
    <t>CellPulse_3GT</t>
  </si>
  <si>
    <t>*****   Author:   Thure Hoeckelberg   Create date: 2024/07/15   Description: Changed to retrieve hourly data for all 3GT from server replicate server VISUSJANAW0002  ************************************************************************************ | *********************************/   INSERT INTO @ReturnedRecordSet(SampleDateTime,SampleValue)   SELECT DateTime, Value --remove milliseconds   FROM VISUSJANAW0002.Runtime.dbo.History   WHERE TagName=@TagName   AND wwRetrievalMode = 'Delta'   AND</t>
  </si>
  <si>
    <t>MIG-0089</t>
  </si>
  <si>
    <t>CellPulse_VISUSJP3GTHIST</t>
  </si>
  <si>
    <t>MIG-0090</t>
  </si>
  <si>
    <t>CellPulse_VISUSJP3GTHIST2</t>
  </si>
  <si>
    <t>MIG-0091</t>
  </si>
  <si>
    <t>CellPulse_WVISUS3GTSER4H</t>
  </si>
  <si>
    <t>MIG-0092</t>
  </si>
  <si>
    <t>CellZoneNoRunTime_3GT</t>
  </si>
  <si>
    <t xml:space="preserve">*****   Author:   Thure Hoeckelberg   Create date: 2024/07/15   Description: Changed to retrieve hourly data for all 3GT from server replicate server VISUSJANAW0002  ************************************************************************************ | T IDENTITY(1,1),SampleDateTime DATETIME,LensQty INT)              INSERT INTO @RecordSet(SampleDateTime,LensQty)       SELECT DateTime, Value    FROM VISUSJANAW0002.Runtime.dbo.History    WHERE TagName=@TagName    AND wwRetrievalMode = 'Cyclic'   </t>
  </si>
  <si>
    <t>MIG-0093</t>
  </si>
  <si>
    <t>CellZoneNoRunTime_VISUSJP3GTHIST</t>
  </si>
  <si>
    <t>MIG-0094</t>
  </si>
  <si>
    <t>CellZoneNoRunTime_VISUSJP3GTHIST2</t>
  </si>
  <si>
    <t>MIG-0095</t>
  </si>
  <si>
    <t>CellZoneNoRunTime_WVISUS3GTSER4H</t>
  </si>
  <si>
    <t>MIG-0096</t>
  </si>
  <si>
    <t>getTagHourValueVISUSJP3GTHIST</t>
  </si>
  <si>
    <t>MIG-0097</t>
  </si>
  <si>
    <t>getTagHourValueVISUSJP3GTHIST2</t>
  </si>
  <si>
    <t>MIG-0098</t>
  </si>
  <si>
    <t>getTagHourValueWVISUS3GTSER3</t>
  </si>
  <si>
    <t>MIG-0099</t>
  </si>
  <si>
    <t>getTagHourValueWVISUS3GTSER4H</t>
  </si>
  <si>
    <t>MIG-0100</t>
  </si>
  <si>
    <t>getTagHourValue_3GT</t>
  </si>
  <si>
    <t>*****   Author:   Thure Hoeckelberg   Create date: 2024/07/15   Description: Changed to retrieve hourly data for all 3GT from server replicate server VISUSJANAW0002       SELECT * FROM getTagHourValue_3GT ('L24_PLC4_EM0602_Stray_Indexer.StatsCnt.Curr |  DATEPART(mi, @pStartDateTime) IN ('00')     AND DATEPART(ss, @pStartDateTime) IN ('00')      BEGIN    SELECT @LensNmb =MAX(ISNULL(value,0))     FROM VISUSJANAW0002.Runtime.dbo.v_AnalogHistory    WHERE TagName = @pTagName    AND DateTime &gt;= CAST(D</t>
  </si>
  <si>
    <t>MIG-0101</t>
  </si>
  <si>
    <t>GetTableauHourlyValue_4GT</t>
  </si>
  <si>
    <t>4GT</t>
  </si>
  <si>
    <t>e date: 2024/07/15   Description: Function to return the hourly value for a tag given two dates and a TagName for        lines using historian server VISUSJANAW0002 for Tabluea Reports    DECLARE @TagValue INT  EXEC @TagValue= dbo.GetTableauHourlyVal | **********************************************/     IF @TagName LIKE '%Statistics.ShiftForecast%'   BEGIN    SELECT @fltHourValue = vah.value    FROM VISUSJANAW0002.Runtime.dbo.v_AnalogHistory vah    WHERE vah.tagname  = @TagName    AND vah.wwRetr</t>
  </si>
  <si>
    <t>MIG-0102</t>
  </si>
  <si>
    <t>GetTableauHourlyValue_VISUSJP4GTHIST</t>
  </si>
  <si>
    <t>MIG-0103</t>
  </si>
  <si>
    <t>GetTableauHourlyValue_WVISUS4GTSER4H</t>
  </si>
  <si>
    <t>MIG-0104</t>
  </si>
  <si>
    <t>Get_FMD_HourlyValue_4GT</t>
  </si>
  <si>
    <t xml:space="preserve">ion to return the hourly value for a tag given two dates and a TagName for        Foreign Matter Data for all 4GT Loader from server replicate server VISUSJANAW0002      ******************************************************************************** | ***************************************************/     IF @TagName LIKE '%_Yield_%'      BEGIN       SELECT @fltHourValue = MAX(vah.value)     FROM VISUSJANAW0002.Runtime.dbo. v_AnalogHistory vah    WHERE vah.tagname  = @TagName    AND DateTime </t>
  </si>
  <si>
    <t>MIG-0105</t>
  </si>
  <si>
    <t>getCurrentValue_4GT</t>
  </si>
  <si>
    <t>*****   Author:   Thure Hoeckelberg   Create date: 2024/07/15   Description: Changed to retrieve hourly data for all 4GT from server replicate server VISUSJANAW0002       EXEC dbo.getCurrentValue_4GT 'iFoilRejectsLastShift_PLCP2:CLA11', '06/19/2018 1 | ****************************************************************************************************/   SELECT @fltCurrValue = MAX(vah.value)    FROM VISUSJANAW0002.Runtime.dbo.v_AnalogHistory vah    WHERE vah.tagname = @strTagName   AND vah.quali</t>
  </si>
  <si>
    <t>MIG-0106</t>
  </si>
  <si>
    <t>getCurrentValue_VISUSJP4GTHIST</t>
  </si>
  <si>
    <t>MIG-0107</t>
  </si>
  <si>
    <t>getCurrentValue_WVISUS4GTSER4H</t>
  </si>
  <si>
    <t>MIG-0108</t>
  </si>
  <si>
    <t>getHourlyValue_4GT</t>
  </si>
  <si>
    <t>*****   Author:   Thure Hoeckelberg   Create date: 2024/07/15   Description: Changed to retrieve hourly data for all 4GT from server replicate server VISUSJANAW0002    DECLARE @TagValue FLOAT  EXEC @TagValue= dbo.getHourlyValue_4GT 'L52_ALI01_HMIRepo | ld%') OR @strTagName LIKE ('%LotNumber%')       OR @strTagName LIKE ('%LotNum%')       BEGIN     SELECT @fltHourValue = ROUND(AVG(value),2)      FROM VISUSJANAW0002.Runtime.dbo.v_AnalogHistory     WHERE tagname  = @strTagName     AND DateTime &gt;= C</t>
  </si>
  <si>
    <t>MIG-0109</t>
  </si>
  <si>
    <t>getHourlyValue_VISUSJP4GTHIST</t>
  </si>
  <si>
    <t>MIG-0110</t>
  </si>
  <si>
    <t>getHourlyValue_WVISUS4GTSER4H</t>
  </si>
  <si>
    <t>MIG-0111</t>
  </si>
  <si>
    <t>getTagValue_VISUSJP4GTHIST</t>
  </si>
  <si>
    <t>MIG-0112</t>
  </si>
  <si>
    <t>getTagValue_WVISUS4GTSER4H</t>
  </si>
  <si>
    <t>MIG-0113</t>
  </si>
  <si>
    <t>timeRangePartQty_4GT</t>
  </si>
  <si>
    <t>MIG-0114</t>
  </si>
  <si>
    <t>timeRangePartQty_VISUSJP4GTHIST</t>
  </si>
  <si>
    <t>MIG-0115</t>
  </si>
  <si>
    <t>timeRangePartQty_WVISUS4GTSER4H</t>
  </si>
  <si>
    <t>MIG-0116</t>
  </si>
  <si>
    <t>4GTHEATMAPTagValue</t>
  </si>
  <si>
    <t>MIG-0117</t>
  </si>
  <si>
    <t>ALILPHDataLoader4GT</t>
  </si>
  <si>
    <t>IN/OUT due to ALI       computer chaned and attribute tags broke      Author:   Pedro DiazCruz  Created:   202/07/16  Description: Changed Servers to VISUSJANAW0002, updated Get functions     EXEC ALILPHDataLoader4GT      **************************** |  Value,        CASE WHEN vValue IS NULL OR vValue='' OR LEN(vValue)=0  THEN 'PALID'--Pre ALI Defect        ELSE vValue        END,'Carrier01'    FROM VISUSJANAW0002.Runtime.dbo.History    WHERE TagName IN          ('L51_ALI01_Carrier01.CarrierCnt'</t>
  </si>
  <si>
    <t>MIG-0118</t>
  </si>
  <si>
    <t>ALILPHDataLoader4GT_Drop</t>
  </si>
  <si>
    <t>IN/OUT due to ALI       computer chaned and attribute tags broke      Author:   Pedro DiazCruz  Created:   202/07/16  Description: Changed Servers to VISUSJANAW0002, updated Get functions     EXEC ALILPHDataLoader4GT_Drop      *********************** |    --    CASE WHEN vValue IS NULL OR vValue='' OR LEN(vValue)=0  THEN 'PALID'--Pre ALI Defect    --    ELSE vValue    --    END,'Carrier01'    --FROM VISUSJANAW0002.Runtime.dbo.History    --WHERE TagName IN     --     ('L51_ALI01_Carrier01.Carrier</t>
  </si>
  <si>
    <t>MIG-0119</t>
  </si>
  <si>
    <t>ALILPHDataLoader4GT_Org</t>
  </si>
  <si>
    <t>MIG-0120</t>
  </si>
  <si>
    <t>CellPerformanceAndLossesByTeamDate4GTDataSource</t>
  </si>
  <si>
    <t xml:space="preserve">eld data we average it within selected period      --SELECT @TagName, @DateTimeFrom, @DateTimeTo        SELECT @ReturnedValue=AVG(h.Value)     FROM   VISUSJANAW0002.Runtime.dbo.History h      WHERE   h.DateTime BETWEEN @DateTimeFrom AND @DateTimeTo  </t>
  </si>
  <si>
    <t>MIG-0121</t>
  </si>
  <si>
    <t>CellPerformanceChart_4GT</t>
  </si>
  <si>
    <t>, LPH DECIMAL(16,2))           INSERT INTO #DataSource (SampleDateTime,CurrentLensQty)      SELECT  CONVERT(VARCHAR(16),DateTime,120), Value     FROM VISUSJANAW0002.Runtime.dbo.History    WHERE TagName=@TagName    AND wwRetrievalMode = 'Cyclic'    AN | T #DataSource.CurrentLensQty=#DataSource.CurrentLensQty-t.Value     FROM ( SELECT  CONVERT(VARCHAR(16),DateTime,120) SampleDateTime, Value       FROM VISUSJANAW0002.Runtime.dbo.History      WHERE TagName=@TagName      AND wwRetrievalMode = 'Cyclic</t>
  </si>
  <si>
    <t>MIG-0122</t>
  </si>
  <si>
    <t>CellPerformanceDataLoader_4GT</t>
  </si>
  <si>
    <t>MIG-0123</t>
  </si>
  <si>
    <t>CellPerformanceDataLoader_4GT_Drop</t>
  </si>
  <si>
    <t>MIG-0124</t>
  </si>
  <si>
    <t>FoilRejDataLoader4GT</t>
  </si>
  <si>
    <t>MIG-0125</t>
  </si>
  <si>
    <t>HeatMap4GTDataLoader</t>
  </si>
  <si>
    <t>MIG-0126</t>
  </si>
  <si>
    <t>HeatMap4GTGridView12or48HourDataSource</t>
  </si>
  <si>
    <t>rom maint_4GTHeatMapCellColor called From webPge: 4GTHeatMap.aspx   Author:   Pedro DiazCruz   Created:   202/07/16   Description: Changed Servers to VISUSJANAW0002        SELECT TagName,ServerName FROM maint_4GTHeatMapTags      EXEC HeatMap4GTGridVi |   -- WHILE @@FETCH_STATUS = 0      -- BEGIN          -- EXEC @cellValue= dbo.TagValue_HourData_4GT @DateTimeFrom, @DateTimeTo,    --      @CellName, 'VISUSJANAW0002'   ----EXEC @cellValue=dbo.TagValue_4GT @DateTimeFrom, @DateTimeTo, @CellName, @Se</t>
  </si>
  <si>
    <t>MIG-0127</t>
  </si>
  <si>
    <t>HeatMap4GTGridView12or48HourDataSource_Drop</t>
  </si>
  <si>
    <t>MIG-0128</t>
  </si>
  <si>
    <t>HeatMap4GTGridView12or48HourDataSource_Org</t>
  </si>
  <si>
    <t>MIG-0129</t>
  </si>
  <si>
    <t>HeatMap4GTLast48HoursLoader</t>
  </si>
  <si>
    <t>MIG-0130</t>
  </si>
  <si>
    <t>HeatMap4GTShiftPredictCFPMandIPC_Drop</t>
  </si>
  <si>
    <t>MIG-0131</t>
  </si>
  <si>
    <t>HeatMap4GTShiftPredictCFPMandOdEE</t>
  </si>
  <si>
    <t>ine 102     Author:   Thure Hoeckelberg   Modified:    2024/07/15   Description: Changed to retrieve hourly data for all from server replicate server VISUSJANAW0002      EXEC HeatMap4GTShiftPredictCFPMandOdEE 51  ************************************* | =@LineID)        SELECT @CurrentValue = Post_OutCurr    FROM SPN4GTData    WHERE SortOrder=@LineID      --SELECT @CurrentValue = MAX(value)    --FROM VISUSJANAW0002.Runtime.dbo.v_AnalogHistory    --WHERE TagName  =  (SELECT TagName     --       FR</t>
  </si>
  <si>
    <t>MIG-0132</t>
  </si>
  <si>
    <t>HeatMap4GTShiftPredictCFPMandOdEE_Drop</t>
  </si>
  <si>
    <t>MIG-0133</t>
  </si>
  <si>
    <t>HeatMap4GT_ALIYield_CurrHour</t>
  </si>
  <si>
    <t xml:space="preserve">   Description: Changed to pull Data from new historian servers     Author:   Pedro DiazCruz   Created:   202/07/16   Description: Changed Servers to VISUSJANAW0002     EXEC HeatMap4GT_ALiYield_CurrHour 51  ******************************************* | OR LEN(vValue)=0  THEN 'PALID'--Pre ALI Defect        --WHEN vValue='' THEN 'PALID'--Pre ALI Defect        ELSE vValue        END,'Carrier01'    FROM VISUSJANAW0002.Runtime.dbo.History    WHERE TagName IN        (@LineName+'_ALI01_Carrier01.Carrie</t>
  </si>
  <si>
    <t>MIG-0134</t>
  </si>
  <si>
    <t>HeatMap4GT_TagValue</t>
  </si>
  <si>
    <t xml:space="preserve">on: Changed to pull Data from new historian servers dynamically     Author:   Pedro DiazCruz   Created:   202/07/16   Description: Changed Servers to VISUSJANAW0002     EXEC HeatMap4GT_TagValue '2019-1-1 05:00:00', '2018-1-1 06:00:00','L56_Stat_Demol | tartDateTime) IN ('00')     AND DATEPART(ss, @pStartDateTime) IN ('00')      BEGIN          SET @SqlStmt='SELECT MAX(ISNULL(value,0)) '+        'FROM VISUSJANAW0002.Runtime.dbo.v_AnalogHistory '+          'WHERE TagName  = '''+@pTagName+ ''' '+   </t>
  </si>
  <si>
    <t>MIG-0135</t>
  </si>
  <si>
    <t>HeatMap4GT_TagValue_Org</t>
  </si>
  <si>
    <t>MIG-0136</t>
  </si>
  <si>
    <t>Load4GTSPNDataToTable</t>
  </si>
  <si>
    <t>d update to Tableau4GTData table to keep shift predict in sync     Author:   Pedro DiazCruz   Created:   2024/07/16   Description: Changed Servers to VISUSJANAW0002, replaced getCurrentValue to point specific GT       SELECT * FROM SPN4GTData     EXE</t>
  </si>
  <si>
    <t>MIG-0137</t>
  </si>
  <si>
    <t>OEE_4GT</t>
  </si>
  <si>
    <t>months.     Author:   Thure Hoeckelberg   Modified:    2024/07/15   Description: Changed to retrieve hourly data for all from server replicate server VISUSJANAW0002     EXEC OEE_4GT  ******************************************************************* | AL(4,2) OUTPUT';      DECLARE @L52_FA_G05_Z04_DoseHead_Total DECIMAL(4,2);     SET @SqlStmt='SELECT  @retvalOUT= AVG(h.value)          FROM           VISUSJANAW0002.Runtime.dbo.v_History h            INNER JOIN           VISUSJANAW0002.Runtime.dbo</t>
  </si>
  <si>
    <t>MIG-0138</t>
  </si>
  <si>
    <t>Tableau4GTDataLoader</t>
  </si>
  <si>
    <t>ble     Author:   Thure Hoeckelberg   Modified:    2024/07/15   Description: Changed to retrieve hourly data for all 4GT from server replicate server VISUSJANAW0002     EXEC Tableau4GTDataLoader  ******************************************************</t>
  </si>
  <si>
    <t>MIG-0139</t>
  </si>
  <si>
    <t>Tableau4GTDataLoader_Drop</t>
  </si>
  <si>
    <t>MIG-0140</t>
  </si>
  <si>
    <t>Tableau4GTDataLoader_Orig</t>
  </si>
  <si>
    <t>MIG-0141</t>
  </si>
  <si>
    <t>TagValue_4GT</t>
  </si>
  <si>
    <t xml:space="preserve"> 4GT     Author:   Thure Hoeckelberg   Modified:   2024/07/15   Description: Changed to retrieve hourly data for all 4GT from server replicate server VISUSJANAW0002    SELECT *  FROM maint_4GTHeatMapTags  SELECT *  FROM maint_4GTHeatMapReportConfigur | tConfiguration    DECLARE @TagValue INT  EXEC @TagValue= dbo.TagValue_4GT '2025-04-18 07:00',  '2025-04-18 08:00',           'L51_Stat_Filling.OUT', 'VISUSJANAW0002'  SELECT @TagValue  **************************************************************</t>
  </si>
  <si>
    <t>MIG-0142</t>
  </si>
  <si>
    <t>TagValue_4GT_Org</t>
  </si>
  <si>
    <t xml:space="preserve"> 3GT     Author:   Thure Hoeckelberg   Modified:   2024/07/15   Description: Changed to retrieve hourly data for all 4GT from server replicate server VISUSJANAW0002    SELECT *  FROM maint_3GTHeatMapTags  SELECT *  FROM maint_3GTHeatMapReportConfigur</t>
  </si>
  <si>
    <t>MIG-0143</t>
  </si>
  <si>
    <t>TagValue_HourData_4GT</t>
  </si>
  <si>
    <t>*****   Author:   Thure Hoeckelberg   Modified:    2024/07/15   Description: Changed to retrieve hourly data for all 4GT from server replicate server VISUSJANAW0002       DECLARE @TagValue INT  EXEC @TagValue= dbo.TagValue_HourData_4GT '2021-02-23 05</t>
  </si>
  <si>
    <t>MIG-0144</t>
  </si>
  <si>
    <t>CellPulse_4GT</t>
  </si>
  <si>
    <t>*****   Author:   Thure Hoeckelberg   Create date: 2024/07/15   Description: Changed to retrieve hourly data for all 4GT from server replicate server VISUSJANAW0002  ************************************************************************************ | *********************************/   INSERT INTO @ReturnedRecordSet(SampleDateTime,SampleValue)   SELECT DateTime, Value --remove milliseconds   FROM VISUSJANAW0002.Runtime.dbo.History   WHERE TagName=@TagName   AND wwRetrievalMode = 'Delta'   AND</t>
  </si>
  <si>
    <t>MIG-0145</t>
  </si>
  <si>
    <t>CellPulse_VISUSJP4GTHIST</t>
  </si>
  <si>
    <t>MIG-0146</t>
  </si>
  <si>
    <t>CellPulse_WVISUS4GTSER4H</t>
  </si>
  <si>
    <t>MIG-0147</t>
  </si>
  <si>
    <t>CellZoneNoRunTime_4GT</t>
  </si>
  <si>
    <t xml:space="preserve">*****   Author:   Thure Hoeckelberg   Create date: 2024/07/15   Description: Changed to retrieve hourly data for all 4GT from server replicate server VISUSJANAW0002  ************************************************************************************ | T IDENTITY(1,1),SampleDateTime DATETIME,LensQty INT)              INSERT INTO @RecordSet(SampleDateTime,LensQty)       SELECT DateTime, Value    FROM VISUSJANAW0002.Runtime.dbo.History    WHERE TagName=@TagName    AND wwRetrievalMode = 'Cyclic'   </t>
  </si>
  <si>
    <t>MIG-0148</t>
  </si>
  <si>
    <t>CellZoneNoRunTime_VISUSJP4GTHIST</t>
  </si>
  <si>
    <t>MIG-0149</t>
  </si>
  <si>
    <t>CellZoneNoRunTime_WVISUS4GTSER4H</t>
  </si>
  <si>
    <t>MIG-0150</t>
  </si>
  <si>
    <t>getTagHourValueVISUSJP4GTHIST</t>
  </si>
  <si>
    <t>MIG-0151</t>
  </si>
  <si>
    <t>getTagHourValueWVISUS4GTSER4H</t>
  </si>
  <si>
    <t>MIG-0152</t>
  </si>
  <si>
    <t>getTagHourValue_4GT</t>
  </si>
  <si>
    <t>*****   Author:   Thure Hoeckelberg   Create date: 2024/07/15   Description: Changed to retrieve hourly data for all 4GT from server replicate server VISUSJANAW0002     SELECT * FROM getTagHourValue_4GT ('L51_Stat_Demold.OUT',              '2021-02-1 |  DATEPART(mi, @pStartDateTime) IN ('00')     AND DATEPART(ss, @pStartDateTime) IN ('00')      BEGIN    SELECT @LensNmb =MAX(ISNULL(value,0))     FROM VISUSJANAW0002.Runtime.dbo.v_AnalogHistory    WHERE TagName = @pTagName    AND DateTime &gt;= CAST(D</t>
  </si>
  <si>
    <t>MIG-0153</t>
  </si>
  <si>
    <t>GetTableauHourlyValue_VISUSJP5GTHIST</t>
  </si>
  <si>
    <t>5GT</t>
  </si>
  <si>
    <t>MIG-0154</t>
  </si>
  <si>
    <t>getCurrentValue_VISUSJP5GTHIST</t>
  </si>
  <si>
    <t>MIG-0155</t>
  </si>
  <si>
    <t>getHourlyValue_VISUSJP5GTHIST</t>
  </si>
  <si>
    <t>MIG-0156</t>
  </si>
  <si>
    <t>getTagValue_VISUSJP5GTHIST</t>
  </si>
  <si>
    <t>MIG-0157</t>
  </si>
  <si>
    <t>timeRangePartQty_VISUSJP5GTHIST</t>
  </si>
  <si>
    <t>MIG-0158</t>
  </si>
  <si>
    <t>CellPulse_VISUSJP5GTHIST</t>
  </si>
  <si>
    <t>MIG-0159</t>
  </si>
  <si>
    <t>CellZoneNoRunTime_VISUSJP5GTHIST</t>
  </si>
  <si>
    <t>MIG-0160</t>
  </si>
  <si>
    <t>getTagHourValueVISUSJP5GTHIST</t>
  </si>
  <si>
    <t>MIG-0161</t>
  </si>
  <si>
    <t>GetTableauHourlyValue_SER3</t>
  </si>
  <si>
    <t>Shared / Other</t>
  </si>
  <si>
    <t>MIG-0162</t>
  </si>
  <si>
    <t>GetTableauHourlyValue_VISUSFMPWWHIS01</t>
  </si>
  <si>
    <t>MIG-0163</t>
  </si>
  <si>
    <t>getCurrentValue</t>
  </si>
  <si>
    <t xml:space="preserve"> -- Function Body   -- Query the Database to get the Current Value based on dates provided   SELECT       @fltCurrValue = MAX(vah.value)    FROM      VISUSJANAW0002.Runtime.dbo.v_AnalogHistory vah      --VISUSJAAPPS34VM.Runtime.dbo.v_AnalogHistory va</t>
  </si>
  <si>
    <t>MIG-0164</t>
  </si>
  <si>
    <t>getCurrentValue_VISUSFMPWWHIS01</t>
  </si>
  <si>
    <t>MIG-0165</t>
  </si>
  <si>
    <t>getHourlyValue</t>
  </si>
  <si>
    <t>MIG-0166</t>
  </si>
  <si>
    <t>getHourlyValue_SER3</t>
  </si>
  <si>
    <t>MIG-0167</t>
  </si>
  <si>
    <t>getHourlyValue_VISUSFMPWWHIS01</t>
  </si>
  <si>
    <t>MIG-0168</t>
  </si>
  <si>
    <t>getTagValue</t>
  </si>
  <si>
    <t>MIG-0169</t>
  </si>
  <si>
    <t>getTagValue_VISUSFMPWWHIS01</t>
  </si>
  <si>
    <t>MIG-0170</t>
  </si>
  <si>
    <t>timeRangePartQty</t>
  </si>
  <si>
    <t>MIG-0171</t>
  </si>
  <si>
    <t>timeRangePartQty_VISUSFMPWWHIS01</t>
  </si>
  <si>
    <t>MIG-0172</t>
  </si>
  <si>
    <t>CellPerformanceByHoursDataSource</t>
  </si>
  <si>
    <t xml:space="preserve">    FROM #TimeRange      WHERE ID=(SELECT MIN(ID)           FROM #TimeRange           WHERE ProcessInd='N')       SELECT @LensQty=MAX(Value)     FROM VISUSJANAW0002.Runtime.dbo.History     WHERE TagName =@TagName     AND wwRetrievalMode = 'Delta'    </t>
  </si>
  <si>
    <t>MIG-0173</t>
  </si>
  <si>
    <t>CellPerformanceChart</t>
  </si>
  <si>
    <t xml:space="preserve">  LPH DECIMAL(16,2))           INSERT INTO #DataSource (SampleDateTime,CurrentLensQty)      SELECT  CONVERT(VARCHAR(16),DateTime,120), Value     FROM VISUSJANAW0002.Runtime.dbo.History    WHERE TagName=@TagName    AND wwRetrievalMode = 'Cyclic'    AN | rentLensQty=#DataSource.CurrentLensQty-t.Value         FROM         (       SELECT  CONVERT(VARCHAR(16),DateTime,120) SampleDateTime, Value      FROM VISUSJANAW0002.Runtime.dbo.History     WHERE TagName=@TagName     AND wwRetrievalMode = 'Cyclic' </t>
  </si>
  <si>
    <t>MIG-0174</t>
  </si>
  <si>
    <t>CellPerformanceDataLoader</t>
  </si>
  <si>
    <t>18/2015 Replaced reference to shift_aliData with shift_aliData     Author:   Pedro DiazCruz   Created:   2024/07/16   Description: Changed Servers to VISUSJANAW0002    EXEC CellPerformanceDataLoader  **************************************************</t>
  </si>
  <si>
    <t>MIG-0175</t>
  </si>
  <si>
    <t>CellPerformanceDataLoader_Drop</t>
  </si>
  <si>
    <t>MIG-0176</t>
  </si>
  <si>
    <t>CellPerformanceDataSource</t>
  </si>
  <si>
    <t xml:space="preserve">ROM db_CurrentPerformance_cursor INTO @LineID, @CellCode, @TagName   WHILE @@FETCH_STATUS = 0      BEGIN        SELECT @TagValue= MAX(value)     FROM VISUSJANAW0002.Runtime.dbo.History    WHERE TagName = @TagName    AND DateTime &gt;= DATEADD(mi,15,@Dat |  db_Current_ALI_cursor INTO @LineID, @CellCode, @TagName   WHILE @@FETCH_STATUS = 0      BEGIN        SELECT @TagValue= AVG(ISNULL(value,0))     FROM VISUSJANAW0002.Runtime.dbo.History    WHERE TagName = @TagName    AND DateTime &gt;= @DateTimeFrom  </t>
  </si>
  <si>
    <t>MIG-0177</t>
  </si>
  <si>
    <t>CellZoneNoProductionByMinutes</t>
  </si>
  <si>
    <t>MIG-0178</t>
  </si>
  <si>
    <t>CellZoneNoProductionTimeLoader</t>
  </si>
  <si>
    <t>1/19   Description: Changed to pull from historians dynamically     Author:   Pedro DiazCruz   Created:   202/07/16   Description: Changed Servers to VISUSJANAW0002     EXEC CellZoneNoProductionTimeLoader        ************************************** | ***********************/   INSERT INTO #LineColumnNameTag (LineID, ColumnName, TagName, ServerName, DeptID)        SELECT LineID, CellCode, TagName, 'VISUSJANAW0002', '2GT'    FROM maint_CellInOutTags    WHERE CellCode NOT LIKE  '%YIELD%'    AND I</t>
  </si>
  <si>
    <t>MIG-0179</t>
  </si>
  <si>
    <t>CellZoneNoProductionTimeLoader_Drop</t>
  </si>
  <si>
    <t>MIG-0180</t>
  </si>
  <si>
    <t>Foreign_Matter_Data_Loader</t>
  </si>
  <si>
    <t>MIG-0181</t>
  </si>
  <si>
    <t>IMMPerformanceLoader</t>
  </si>
  <si>
    <t>ft ends     Author:   Thure Hoeckelberg   Modified:    2024/07/15   Description: Changed to retrieve hourly data for all from server replicate server VISUSJANAW0002     EXEC IMMPerformanceLoader  ****************************************************** | ine,TagDescription,IMMType,TagValue)                             SELECT @LineID,@TagDescription,@IMMType,ISNULL(MAX(Value),0)                    FROM VISUSJANAW0002.Runtime.dbo.History                    WHERE TagName=@TagName                    A</t>
  </si>
  <si>
    <t>MIG-0182</t>
  </si>
  <si>
    <t>IMMPerformanceProductionDateTeamDataSource</t>
  </si>
  <si>
    <t>rmance"     Author:   Thure Hoeckelberg   Modified:    2024/07/15   Description: Changed to retrieve hourly data for all from server replicate server VISUSJANAW0002      GRANT EXECUTE ON IMMPerformanceProductionDateTeamDataSource TO [gsuser]      EXE | ine,TagDescription,IMMType,TagValue)                             SELECT @LineID,@TagDescription,@IMMType,ISNULL(MAX(Value),0)                    FROM VISUSJANAW0002.Runtime.dbo.History                    WHERE TagName=@TagName                    A</t>
  </si>
  <si>
    <t>MIG-0183</t>
  </si>
  <si>
    <t>IMMPerformanceReport</t>
  </si>
  <si>
    <t xml:space="preserve"> IN KPI     Author:   Thure Hoeckelberg   Modified:    2024/07/15   Description: Changed to retrieve hourly data for all from server replicate server VISUSJANAW0002     EXEC IMMPerformanceReport '04/10/2013','D'  ************************************* | ine,TagDescription,IMMType,TagValue)                             SELECT @LineID,@TagDescription,@IMMType,ISNULL(MAX(Value),0)                    FROM VISUSJANAW0002.Runtime.dbo.History                    WHERE TagName=@TagName                    A</t>
  </si>
  <si>
    <t>MIG-0184</t>
  </si>
  <si>
    <t>LPMDataSource</t>
  </si>
  <si>
    <t xml:space="preserve">o 600       Author:   Thure Hoeckelberg   Modified:    2024/07/15   Description: Changed to retrieve hourly data for all from server replicate server VISUSJANAW0002    EXEC LPMDataSource '03/27/2025A',1,'Loader'  ************************************* | INSERT INTO @DataTable (SampleDateTime,OutputQty,Quality)   SELECT LEFT(CONVERT(VARCHAR, DateTime, 21),16) AS DateTime,        Value, Quality    FROM VISUSJANAW0002.Runtime.dbo.History    WHERE TagName =@TagName    AND wwRetrievalMode = 'Cyclic'  </t>
  </si>
  <si>
    <t>MIG-0185</t>
  </si>
  <si>
    <t>LPMDateRangeDataSource</t>
  </si>
  <si>
    <t>CHAR(100)   Author:   Thure Hoeckelberg   Modified:    2024/07/15   Description: Changed to retrieve hourly data for all from server replicate server VISUSJANAW0002    EXEC LPMDateRangeDataSource '03/25/2025', '03/26/2025', 1, 'Loader'    EXEC LPMDat | ATUS = 0       BEGIN         INSERT INTO @DataTable (SampleDateTime,OutputQty)        SELECT LEFT(CONVERT(VARCHAR, DateTime, 21),16),Value       FROM VISUSJANAW0002.Runtime.dbo.History       WHERE TagName =@TagName       AND wwRetrievalMode = 'Cyc</t>
  </si>
  <si>
    <t>MIG-0186</t>
  </si>
  <si>
    <t>LPMDateRangeDataSource_Drop</t>
  </si>
  <si>
    <t>@ProductionDate, @TeamID, @LineID, @CellZone,        LEFT(CONVERT(VARCHAR, DateTime, 21),16) AS SampleDateTime,         Value AS OutputQty       FROM VISUSJANAW0002.Runtime.dbo.History       WHERE TagName =@TagName       AND wwRetrievalMode = 'Cyclic</t>
  </si>
  <si>
    <t>MIG-0187</t>
  </si>
  <si>
    <t>LPM_DownTime_Data_Loader</t>
  </si>
  <si>
    <t>MIG-0188</t>
  </si>
  <si>
    <t>Last24HourLensProduction</t>
  </si>
  <si>
    <t>GTSER4H     Author:   Thure Hoeckelberg   Modified:    2024/07/15   Description: Changed to retrieve hourly data for all from server replicate server VISUSJANAW0002    EXEC Last24HourLensProduction 59,15  ********************************************* | T(VARCHAR(10),h.DateTime,101)+' '+               CONVERT(VARCHAR(5),h.DateTime,108) SampleDateTime,               MAX(ISNULL(h.Value,0)) LPS     FROM VISUSJANAW0002.Runtime.dbo.History h     WHERE h.TagName =@TagName      AND h.DateTime &lt;= @DateTi</t>
  </si>
  <si>
    <t>MIG-0189</t>
  </si>
  <si>
    <t>LensByShiftLoader</t>
  </si>
  <si>
    <t>MIG-0190</t>
  </si>
  <si>
    <t>LensByShiftLoaderManual</t>
  </si>
  <si>
    <t>MIG-0191</t>
  </si>
  <si>
    <t>LensByShiftLoaderManual_Utility</t>
  </si>
  <si>
    <t>MIG-0192</t>
  </si>
  <si>
    <t>LineEfficiencyChartSource</t>
  </si>
  <si>
    <t>MIG-0193</t>
  </si>
  <si>
    <t>LineEfficiencyChartSource_Original</t>
  </si>
  <si>
    <t>MIG-0194</t>
  </si>
  <si>
    <t>LineEfficiencyDataSource</t>
  </si>
  <si>
    <t>MIG-0195</t>
  </si>
  <si>
    <t>LinePulse</t>
  </si>
  <si>
    <t>MIG-0196</t>
  </si>
  <si>
    <t>LoadSPNCurrentLineData</t>
  </si>
  <si>
    <t>MIG-0197</t>
  </si>
  <si>
    <t>Load_OEE_uptime_downtime_TagValues</t>
  </si>
  <si>
    <t>MIG-0198</t>
  </si>
  <si>
    <t>LotALIData</t>
  </si>
  <si>
    <t xml:space="preserve">future.     Author:   Thure Hoeckelberg   Modified:    2024/07/15   Description: Changed to retrieve hourly data for all from server replicate server VISUSJANAW0002    EXEC LotALIData 7,122  EXEC LotALIData 2,122  EXEC LotALIData 52,122  EXEC LotALID | ECT         lineid, sample_date, cav1,cav2,cav3,cav4,cav5,cav6,cav7,cav8,        cav9,cav10,cav11,cav12,cav13,cav14,cav15,cav16        FROM OpenQuery(VISUSJANAW0002,        ''SELECT * FROM OpenQuery(INSQL,         ''''SELECT '+CONVERT(varchar(3), </t>
  </si>
  <si>
    <t>MIG-0199</t>
  </si>
  <si>
    <t>LotALIDataLoader</t>
  </si>
  <si>
    <t xml:space="preserve">ALIData     Author:   Thure Hoeckelberg   Modified:    2024/07/15   Description: Changed to retrieve hourly data for all from server replicate server VISUSJANAW0002    EXEC LotALIDataLoader  *********************************************************** | ECT         lineid, sample_date, cav1,cav2,cav3,cav4,cav5,cav6,cav7,cav8,        cav9,cav10,cav11,cav12,cav13,cav14,cav15,cav16        FROM OpenQuery(VISUSJANAW0002,        ''SELECT * FROM OpenQuery(INSQL,         ''''SELECT '+CONVERT(varchar(3), </t>
  </si>
  <si>
    <t>MIG-0200</t>
  </si>
  <si>
    <t>LotRunDuration</t>
  </si>
  <si>
    <t>MIG-0201</t>
  </si>
  <si>
    <t>MoldALIDataLoader</t>
  </si>
  <si>
    <t>PPS34VM     Author:   Thure Hoeckelberg   Modified:    2024/07/15   Description: Changed to retrieve hourly data for all from server replicate server VISUSJANAW0002    EXEC MoldALIDataLoader  ********************************************************** |  SELECT         sample_date, cav1,cav2,cav3,cav4,cav5,cav6,cav7,cav8,            cav9,cav10,cav11,cav12,cav13,cav14,cav15,cav16        FROM OpenQuery(VISUSJANAW0002,        ''SELECT * FROM          OpenQuery(INSQL,         ''''SELECT CONVERT(VARCH</t>
  </si>
  <si>
    <t>MIG-0202</t>
  </si>
  <si>
    <t>PLCClockResetTime</t>
  </si>
  <si>
    <t xml:space="preserve">et time     Author:   Thure Hoeckelberg   Modified:    2024/07/15   Description: Changed to retrieve hourly data for all from server replicate server VISUSJANAW0002           EXEC PLCClockResetTime 6  ************************************************* | d='NO')         INSERT INTO #PLCClockReset        (LineID,TagName,SampleDateTime,SampleValue)       SELECT @LineID,@TagName,DateTime,Value       FROM VISUSJANAW0002.Runtime.dbo.History h    WHERE h.DateTime BETWEEN @TimeFrom AND @TimeTo    AND h. </t>
  </si>
  <si>
    <t>MIG-0203</t>
  </si>
  <si>
    <t>PLCClockResetTimeTracking</t>
  </si>
  <si>
    <t>tTrend.     Author:   Thure Hoeckelberg   Modified:    2024/07/15   Description: Changed to retrieve hourly data for all from server replicate server VISUSJANAW0002    EXEC PLCClockResetTimeTracking   ************************************************* | ID=(SELECT MIN(ID)        FROM #temp        WHERE ProcessInd='NO')    --Print @TagName   SELECT @DateTimeOfMaxValue=ISNULL(MAX(h.DateTime),'')   FROM VISUSJANAW0002.Runtime.dbo.History h   WHERE h.DateTime BETWEEN @DateTimeFrom AND @DateTimeTo   A</t>
  </si>
  <si>
    <t>MIG-0204</t>
  </si>
  <si>
    <t>PLCClockResetTimeZ18Loader</t>
  </si>
  <si>
    <t xml:space="preserve">me          Author:   Thure Hoeckelberg   Modified:    2024/07/15   Description: Changed to retrieve hourly data for all from server replicate server VISUSJANAW0002    EXEC PLCClockResetTimeZ18Loader  ************************************************* | 10),TagName VARCHAR(50), SampleDateTime DATETIME,Value INT)      INSERT INTO @LineTagValue    SELECT ml.LineName,h.TagName,h.DateTime,h.Value    FROM VISUSJANAW0002.Runtime.dbo.History h    INNER JOIN  maint_LineTag mlt ON h.TagName=mlt.TagName   </t>
  </si>
  <si>
    <t>MIG-0205</t>
  </si>
  <si>
    <t>ServoData_Loader</t>
  </si>
  <si>
    <t xml:space="preserve">        Author:   Thure Hoeckelberg   Modified:    2024/07/15   Description: Changed to retrieve hourly data for all 3GT from server replicate server VISUSJANAW0002        SELECT *    FROM Servo_Data      EXEC ServoData_Loader    ******************** | oductionDate, @TeamID, @LineID, @DateTimeFrom, DateTime AS CurrDate, @TagName,            @TagCategory, @ZoneID, ISNULL(value,0) AS TagValue     FROM VISUSJANAW0002.Runtime.dbo.v_AnalogHistory     WHERE TagName = @TagName     AND DateTime &lt;= DATEA</t>
  </si>
  <si>
    <t>MIG-0206</t>
  </si>
  <si>
    <t>TagMaxValue</t>
  </si>
  <si>
    <t>MIG-0207</t>
  </si>
  <si>
    <t>TagValue</t>
  </si>
  <si>
    <t>MapReportConfiguration      DECLARE @TagValue INT  EXEC @TagValue= dbo.TagValue '2025-04-18 07:00',  '2025-04-18 08:00',           'AP1_GOODCOUNT2', 'VISUSJANAW0002'  SELECT @TagValue  ***************************************************************** | @pStartDateTime) IN ('00')     AND DATEPART(ss, @pStartDateTime) IN ('00')        BEGIN               SELECT @TagValue= MAX(ISNULL(value,0))     FROM VISUSJANAW0002.Runtime.dbo.v_AnalogHistory    WHERE TagName = @pTagName    AND DateTime &gt;= DATEAD</t>
  </si>
  <si>
    <t>MIG-0208</t>
  </si>
  <si>
    <t>MIG-0209</t>
  </si>
  <si>
    <t>TagValue_Canary_Old</t>
  </si>
  <si>
    <t>MIG-0210</t>
  </si>
  <si>
    <t>TagValue_FMD_HourData</t>
  </si>
  <si>
    <t>MIG-0211</t>
  </si>
  <si>
    <t>TagValue_HourData</t>
  </si>
  <si>
    <t>MIG-0212</t>
  </si>
  <si>
    <t>MIG-0213</t>
  </si>
  <si>
    <t>TagValue_HourData_Canary_Org</t>
  </si>
  <si>
    <t>MIG-0214</t>
  </si>
  <si>
    <t>TagValue_Org</t>
  </si>
  <si>
    <t>MIG-0215</t>
  </si>
  <si>
    <t>YieldBySKULoader</t>
  </si>
  <si>
    <t xml:space="preserve">Us.     Author:   Thure Hoeckelberg   Modified:    2024/07/15   Description: Changed to retrieve hourly data for all 3GT from server replicate server VISUSJANAW0002    EXEC YieldBySKULoader   ********************************************************** | ECT LotNum,SampleDate,cav1,cav2,cav3,cav4,cav5,cav6,cav7,cav8,           cav9,cav10,cav11,cav12,cav13,cav14,cav15,cav16                FROM OpenQuery(VISUSJANAW0002,                ''SELECT * FROM                        OpenQuery(INSQL,           </t>
  </si>
  <si>
    <t>MIG-0216</t>
  </si>
  <si>
    <t>getProductNameByLineAndShift</t>
  </si>
  <si>
    <t>MIG-0217</t>
  </si>
  <si>
    <t>CellPulse</t>
  </si>
  <si>
    <t>MIG-0218</t>
  </si>
  <si>
    <t>CellPulse_VISUSFMPWWHIS01</t>
  </si>
  <si>
    <t>MIG-0219</t>
  </si>
  <si>
    <t>CellZoneNoRunTime</t>
  </si>
  <si>
    <t>MIG-0220</t>
  </si>
  <si>
    <t>CellZoneNoRunTime_VISUSFMPWWHIS01</t>
  </si>
  <si>
    <t>MIG-0221</t>
  </si>
  <si>
    <t>getTagHourValueVISUSFMPWWHIS01</t>
  </si>
  <si>
    <t>MIG-0222</t>
  </si>
  <si>
    <t>getTagHourValueVISUSJAAPPS34</t>
  </si>
  <si>
    <t>MIG-0223</t>
  </si>
  <si>
    <t>getTagHourValueVISUSJAAPPS34VM</t>
  </si>
  <si>
    <t>MIG-0224</t>
  </si>
  <si>
    <t>getTagHourValueVISUSJAAPPS34VM_New_Counter</t>
  </si>
  <si>
    <t>MIG-0225</t>
  </si>
  <si>
    <t>LPSforIreland</t>
  </si>
  <si>
    <t>VIEW</t>
  </si>
  <si>
    <t>MIG-0226</t>
  </si>
  <si>
    <t>LPSforIreland_new</t>
  </si>
  <si>
    <t>DatabaseName</t>
  </si>
  <si>
    <t>SchemaName</t>
  </si>
  <si>
    <t>ObjectName</t>
  </si>
  <si>
    <t>ObjectType</t>
  </si>
  <si>
    <t>ReferencesVISUSJANAW0002</t>
  </si>
  <si>
    <t>ReferencesVISUSJANAW0001</t>
  </si>
  <si>
    <t>ReferencesCanary</t>
  </si>
  <si>
    <t>ReferencesLegacyHistorian</t>
  </si>
  <si>
    <t>ConversionUOM</t>
  </si>
  <si>
    <t>SQL_INLINE_TABLE_VALUED_FUNCTION</t>
  </si>
  <si>
    <t>HeatMapTagNameForNumeratorAndDenominator</t>
  </si>
  <si>
    <t>ShiftHourConversion</t>
  </si>
  <si>
    <t>SplitString</t>
  </si>
  <si>
    <t>_testAuthorizedUser_Kill</t>
  </si>
  <si>
    <t>fn_diagramobjects</t>
  </si>
  <si>
    <t>GetMax</t>
  </si>
  <si>
    <t>GetMin</t>
  </si>
  <si>
    <t>PercentileValue</t>
  </si>
  <si>
    <t>UserRoleMenuManagement</t>
  </si>
  <si>
    <t>UserRoleMenuManagement_bkup</t>
  </si>
  <si>
    <t>UserRoleMenuManagement_new</t>
  </si>
  <si>
    <t>UserRoleMenuManagement_new_bkup</t>
  </si>
  <si>
    <t>aDisplayAllLinesPerformance</t>
  </si>
  <si>
    <t>aDisplayAllLinesPerformance_2GT</t>
  </si>
  <si>
    <t>aDisplayAllLinesPerformance_3GT</t>
  </si>
  <si>
    <t>aDisplayAllLinesPerformance_4GT</t>
  </si>
  <si>
    <t>aDisplayLast14ShiftsDT</t>
  </si>
  <si>
    <t>aDisplayLast14ShiftsDT_Drop</t>
  </si>
  <si>
    <t>aDisplayLast14ShiftsLPHAverage</t>
  </si>
  <si>
    <t>aDisplayLast14ShiftsLPHAverage_Drop</t>
  </si>
  <si>
    <t>aDisplayLast14ShiftsLPS</t>
  </si>
  <si>
    <t>aDisplayLast14ShiftsYield</t>
  </si>
  <si>
    <t>aDisplayLast24HoursLPH</t>
  </si>
  <si>
    <t>aDisplayLast30DayDT</t>
  </si>
  <si>
    <t>aDisplayLast30DayLPS</t>
  </si>
  <si>
    <t>aDisplayLast30DaysLPHAverage</t>
  </si>
  <si>
    <t>aDisplayLast30DaysNonconformance</t>
  </si>
  <si>
    <t>aDisplayLast30DayYield</t>
  </si>
  <si>
    <t>aDisplayLinesReview</t>
  </si>
  <si>
    <t>aDisplayProductionSchedule_Old</t>
  </si>
  <si>
    <t>aDisplayYTDLPS</t>
  </si>
  <si>
    <t>ALI2GTDefectChartsDataSource</t>
  </si>
  <si>
    <t>ALI3GTDefectChartsDataSource</t>
  </si>
  <si>
    <t>ALI4GTDefectChartsDataSource</t>
  </si>
  <si>
    <t>ALIByHourDateRangeDataSource</t>
  </si>
  <si>
    <t>ALIByShiftChartDataSource</t>
  </si>
  <si>
    <t>ALIYieldByShiftsDataSource</t>
  </si>
  <si>
    <t>AvailabilityTrendChartDataSource</t>
  </si>
  <si>
    <t>CellPerformanceAndLossesByDateRange2GTDataSource</t>
  </si>
  <si>
    <t>CellPerformanceAndLossesByDateRange4GTDataSource</t>
  </si>
  <si>
    <t>CellPerformanceDateRangeDataSource</t>
  </si>
  <si>
    <t>CellTargetTransaction</t>
  </si>
  <si>
    <t>CellZoneNoProductionTimeReportDataSource</t>
  </si>
  <si>
    <t>CFPMvsPackedQtyChartSource</t>
  </si>
  <si>
    <t>CFPMvsPackedQtyChartSource_Org</t>
  </si>
  <si>
    <t>ChartALIDefectsWithTarget</t>
  </si>
  <si>
    <t>ChartLPSbyLines</t>
  </si>
  <si>
    <t>ChartLPSbyLines_Drop</t>
  </si>
  <si>
    <t>ChartLPSbyProduct</t>
  </si>
  <si>
    <t>ChartLPSbyProduct_old</t>
  </si>
  <si>
    <t>ChartNonconformancePage</t>
  </si>
  <si>
    <t>ChartQuality</t>
  </si>
  <si>
    <t>CMMS_DWO_Loader</t>
  </si>
  <si>
    <t>CMMS_DWO_Loader_History</t>
  </si>
  <si>
    <t>CMMS_Formulations_AuditStatus</t>
  </si>
  <si>
    <t>CMMSAuditStatus</t>
  </si>
  <si>
    <t>CMMSAuditStatus_Org</t>
  </si>
  <si>
    <t>CMMSDTEmailReport</t>
  </si>
  <si>
    <t>CMMSDTEmailReport_Org</t>
  </si>
  <si>
    <t>CMMSKPIMultiHourReportDataSource</t>
  </si>
  <si>
    <t>CMMSKPIMultiHourReportDataSource_4GT</t>
  </si>
  <si>
    <t>CMMSKPIReport</t>
  </si>
  <si>
    <t>CMMSKPIReportDataSource</t>
  </si>
  <si>
    <t>CMMSPMandLPSandALIYieldDataSource</t>
  </si>
  <si>
    <t>CMMSPMandLPSandALIYieldDataSource_Drop</t>
  </si>
  <si>
    <t>CMMSPMandLPSandALIYieldDataSource_Old</t>
  </si>
  <si>
    <t>CMMSPMDataSource</t>
  </si>
  <si>
    <t>CMMSRecordsLoader</t>
  </si>
  <si>
    <t>DashboardLineChartsData</t>
  </si>
  <si>
    <t>Destroyed_Lot_Loader</t>
  </si>
  <si>
    <t>Destroyed_Lot_Pending_DataSource</t>
  </si>
  <si>
    <t>DestroyedLotsReportsDataSource</t>
  </si>
  <si>
    <t>DestroyedLotsReportsDataSource_Old</t>
  </si>
  <si>
    <t>DowntimeAnalyzerReport</t>
  </si>
  <si>
    <t>DowntimeByHrsWithIPCDataSource</t>
  </si>
  <si>
    <t>DowntimeByHrsWithOdEEDataSource</t>
  </si>
  <si>
    <t>Email5ShiftReportUsersTransactions</t>
  </si>
  <si>
    <t>FiveLastShiftsProductionEmailReport</t>
  </si>
  <si>
    <t>FiveLastShiftsProductionEmailReport_Drop</t>
  </si>
  <si>
    <t>Foil4GTDefectChartsDataSource</t>
  </si>
  <si>
    <t>Foil4GTHourDateRangeDataSource</t>
  </si>
  <si>
    <t>ForeignMatterDateRangeReport</t>
  </si>
  <si>
    <t>ForeignMatterGridViewsDataSource</t>
  </si>
  <si>
    <t>ForeignMatterLoader</t>
  </si>
  <si>
    <t>GembaWalkTransaction</t>
  </si>
  <si>
    <t>get_2GT_ProductionSchedule</t>
  </si>
  <si>
    <t>getProductNameByLineAndDate</t>
  </si>
  <si>
    <t>HeatMap2GT_TV_GridViewDataSource</t>
  </si>
  <si>
    <t>HeatMap2GT_TV_ShiftPredictCFPM</t>
  </si>
  <si>
    <t>HeatMap2GTCruuHourLoader</t>
  </si>
  <si>
    <t>HeatMap2GTCurrentHourMeetingInitiatorManagement</t>
  </si>
  <si>
    <t>HeatMap2GTDataLoader</t>
  </si>
  <si>
    <t>HeatMap2GTDataLoader_Drop</t>
  </si>
  <si>
    <t>HeatMap2GTLast48HoursLoader_JPettit</t>
  </si>
  <si>
    <t>HeatMap2GTLast48HoursLoader_Org</t>
  </si>
  <si>
    <t>HeatMap2GTMeetingInitiatorTransaction</t>
  </si>
  <si>
    <t>HeatMap2GTTransaction</t>
  </si>
  <si>
    <t>HeatMap3GT_RollingHour_LiveFeed</t>
  </si>
  <si>
    <t>HeatMap3GT_TV_GridViewDataSource</t>
  </si>
  <si>
    <t>HeatMap3GT_TV_ShiftPredictCFPM</t>
  </si>
  <si>
    <t>HeatMap3GTAssistanceRecipientsTransaction</t>
  </si>
  <si>
    <t>HeatMap3GTAssistanceTransaction</t>
  </si>
  <si>
    <t>HeatMap3GTCMMSKPIReport</t>
  </si>
  <si>
    <t>HeatMap3GTCruuHourLoader</t>
  </si>
  <si>
    <t>HeatMap3GTDataLoader</t>
  </si>
  <si>
    <t>HeatMap3GTDataLoader_DROP</t>
  </si>
  <si>
    <t>HeatMap3GTGridView12or48HourDataSource_Old</t>
  </si>
  <si>
    <t>HeatMap3GTGridViewDataSource_Drop</t>
  </si>
  <si>
    <t>HeatMap3GTLast48HoursLoader</t>
  </si>
  <si>
    <t>HeatMap3GTLineAssistanceReport</t>
  </si>
  <si>
    <t>HeatMap3GTZoneReport</t>
  </si>
  <si>
    <t>HeatMap4GT_TV_GridViewDataSource</t>
  </si>
  <si>
    <t>HeatMap4GT_TV_ShiftPredictCFPM</t>
  </si>
  <si>
    <t>HeatMap4GTCruuHourLoader</t>
  </si>
  <si>
    <t>HeatMap4GTGridViewDataSource</t>
  </si>
  <si>
    <t>HeatMap4GTSpherePowerBrand</t>
  </si>
  <si>
    <t>HeatMap4GTSpherePowerBrand_ByHour</t>
  </si>
  <si>
    <t>HeatMapCMMSKPIEmailReport</t>
  </si>
  <si>
    <t>HeatMapCMMSKPIReport</t>
  </si>
  <si>
    <t>HeatMapCMMSMultipleHoursKPIReport</t>
  </si>
  <si>
    <t>HeatMapCurrHr_DataLoader_PostGre</t>
  </si>
  <si>
    <t>HeatMapDataLoader</t>
  </si>
  <si>
    <t>HeatMapDataLoader_PostGre</t>
  </si>
  <si>
    <t>HeatMapMeetingInitiatorTransaction</t>
  </si>
  <si>
    <t>HeatMapSpherePowerBrand</t>
  </si>
  <si>
    <t>HeatMapSpherePowerBrand_4GT</t>
  </si>
  <si>
    <t>IMMPerformanceDateRangeReport</t>
  </si>
  <si>
    <t>IPCByLinesProductionDateDataSource</t>
  </si>
  <si>
    <t>IPCSummary</t>
  </si>
  <si>
    <t>IPCSummaryChartDataSource</t>
  </si>
  <si>
    <t>IPCSummaryDataSource</t>
  </si>
  <si>
    <t>IPCSummaryLineChartDataSource_Drop</t>
  </si>
  <si>
    <t>KPIPageOPPDataSource</t>
  </si>
  <si>
    <t>L61_Temp_DataLoader</t>
  </si>
  <si>
    <t>Line24HoursLPSAverageDataSource</t>
  </si>
  <si>
    <t>Line2GTMissingHourlyEntries</t>
  </si>
  <si>
    <t>LineChartsDrillDownTimeReportDataSource</t>
  </si>
  <si>
    <t>LineChartsPageReportsDataSource</t>
  </si>
  <si>
    <t>LineChartsPageReportsDataSource_Drop</t>
  </si>
  <si>
    <t>LineCreditProjectsGridViewDataSource</t>
  </si>
  <si>
    <t>LineEfficiencyDataLoad</t>
  </si>
  <si>
    <t>LineIssuesDataSource</t>
  </si>
  <si>
    <t>LineIssuesTransactions</t>
  </si>
  <si>
    <t>LinePerformanceChartALIDefectsWithTarget</t>
  </si>
  <si>
    <t>LinePerformanceDetailsDataSource</t>
  </si>
  <si>
    <t>LinePerformanceSummary</t>
  </si>
  <si>
    <t>LinePerformanceTopDowntimeDataSource</t>
  </si>
  <si>
    <t>LineProjectsAttributesTransaction</t>
  </si>
  <si>
    <t>LineProjectsExcelDataSource</t>
  </si>
  <si>
    <t>LineProjectsMonthYearListDataSource</t>
  </si>
  <si>
    <t>LineProjectsReportsDataSource</t>
  </si>
  <si>
    <t>LineProjectsShiftDataSource</t>
  </si>
  <si>
    <t>LineProjectsShiftsDataSource</t>
  </si>
  <si>
    <t>LineProjectsShitDateCreditTransaction</t>
  </si>
  <si>
    <t>LineProjectsTransaction</t>
  </si>
  <si>
    <t>LineRecord3GTTransactions</t>
  </si>
  <si>
    <t>LineReliabilityReportDataSource</t>
  </si>
  <si>
    <t>LineReviewCMMSKPISelectedZoneDowntime</t>
  </si>
  <si>
    <t>LineReviewDataSource</t>
  </si>
  <si>
    <t>LineShiftAverageProductionReport</t>
  </si>
  <si>
    <t>LineShiftCreditSummaryReport</t>
  </si>
  <si>
    <t>LineShiftFinancialReport</t>
  </si>
  <si>
    <t>LineShiftProductionCreditReport</t>
  </si>
  <si>
    <t>LineShiftProductionReport</t>
  </si>
  <si>
    <t>LineShiftProductionReport_9SeriesLots</t>
  </si>
  <si>
    <t>LineTimeRequestCalendarDataSource</t>
  </si>
  <si>
    <t>LineTimeRequestDDLDataSource</t>
  </si>
  <si>
    <t>LineTimeRequestFollowUpEmail</t>
  </si>
  <si>
    <t>LineTimeRequestGridViewDataSource</t>
  </si>
  <si>
    <t>LineTimeRequestTransaction</t>
  </si>
  <si>
    <t>LineTopDowntimeDataSource</t>
  </si>
  <si>
    <t>LineZoneCategorySubassemblyDownTime</t>
  </si>
  <si>
    <t>Load_maint_DeptBrandLensCost_NextMonth</t>
  </si>
  <si>
    <t>LoadSPNDataToTmpTable</t>
  </si>
  <si>
    <t>LoadSPNDataToTmpTable_Drop</t>
  </si>
  <si>
    <t>LoadSPNDataToTmpTable_PostGre</t>
  </si>
  <si>
    <t>LoadUsersFromLDAPDataSource</t>
  </si>
  <si>
    <t>LoadUsersFromLDAPDataSource_Drop</t>
  </si>
  <si>
    <t>LoadUsersFromLDAPDataSource_Orig</t>
  </si>
  <si>
    <t>LotReconciliationDataSource</t>
  </si>
  <si>
    <t>LotsByLineAndProduct</t>
  </si>
  <si>
    <t>LPHDataSource</t>
  </si>
  <si>
    <t>LPHtoIPCSummary</t>
  </si>
  <si>
    <t>LPHtoOdEESummary</t>
  </si>
  <si>
    <t>Maintenance2GTHeatMapTransactions</t>
  </si>
  <si>
    <t>Maintenance3GTHeatMapTransactions</t>
  </si>
  <si>
    <t>Maintenance4GTHeatMapTransactions</t>
  </si>
  <si>
    <t>MaintenanceBusinessPlanTransaction</t>
  </si>
  <si>
    <t>MaintenanceCFPMTCopyRecords</t>
  </si>
  <si>
    <t>MaintenanceCFPMVolumeTransaction</t>
  </si>
  <si>
    <t>MaintenanceCMMSPerformanceInfoLoader</t>
  </si>
  <si>
    <t>MaintenanceCopyCFPMVolumeRecords</t>
  </si>
  <si>
    <t>MaintenanceLensCostTransactions</t>
  </si>
  <si>
    <t>MaintenanceLineProductDateRangeTransaction</t>
  </si>
  <si>
    <t>MaintenanceLineProductInfoTransaction</t>
  </si>
  <si>
    <t>MaintenanceLPSTransactions</t>
  </si>
  <si>
    <t>MaintenanceProductionYearMonthTransaction</t>
  </si>
  <si>
    <t>MaintenanceProductTransaction</t>
  </si>
  <si>
    <t>MaintenanceReworkTargetDataSource</t>
  </si>
  <si>
    <t>MaintenanceReworkTargetTransaction</t>
  </si>
  <si>
    <t>MaintSystemUsersTransactions</t>
  </si>
  <si>
    <t>Mgr_Action_Log_Transaction</t>
  </si>
  <si>
    <t>MinuteLensProductionDataSource</t>
  </si>
  <si>
    <t>MissedHourDTEntriesPageGridViewDataSource</t>
  </si>
  <si>
    <t>MissedHourDTEntriesPageGridViewDataSource_4GT</t>
  </si>
  <si>
    <t>MissedHourlyTargetDTTransaction</t>
  </si>
  <si>
    <t>MissedHourTargetCMMSKPIEntryPageDataSource</t>
  </si>
  <si>
    <t>MissedHourTargetDTTransaction</t>
  </si>
  <si>
    <t>MissedHourTargetEntriesPageDataSource</t>
  </si>
  <si>
    <t>MissedTargetMultiHourDTTransaction</t>
  </si>
  <si>
    <t>MoldLotStartEndDataLoader</t>
  </si>
  <si>
    <t>MoldLotYieldReportDataSource</t>
  </si>
  <si>
    <t>MSP_Detain_EmailReport</t>
  </si>
  <si>
    <t>NewProductionYearMonthLoader</t>
  </si>
  <si>
    <t>NonconformanceDetailedReport</t>
  </si>
  <si>
    <t>NonconformanceDetailsDataSource</t>
  </si>
  <si>
    <t>NonconformancePageReport</t>
  </si>
  <si>
    <t>NonconformanceSummaryDataSource</t>
  </si>
  <si>
    <t>NonconformanceSummaryReport</t>
  </si>
  <si>
    <t>OdEESummary</t>
  </si>
  <si>
    <t>OdEESummaryChartDataSource</t>
  </si>
  <si>
    <t>OdEESummaryDataSource</t>
  </si>
  <si>
    <t>OEE_availability_Calculations</t>
  </si>
  <si>
    <t>OEE_shift_ALIYield</t>
  </si>
  <si>
    <t>OEE2ReportChartDataSource</t>
  </si>
  <si>
    <t>OeeTargetDB_dbo_OEE_Tableau_DataLoader</t>
  </si>
  <si>
    <t>OperationsKPIPageLPSDataSource</t>
  </si>
  <si>
    <t>PerformanceReviewBoardDataSource</t>
  </si>
  <si>
    <t>Plant_Hourly_Report</t>
  </si>
  <si>
    <t>PlantSummaryReport</t>
  </si>
  <si>
    <t>PlantSummaryReport_Drop</t>
  </si>
  <si>
    <t>PlantSummaryReport_Org</t>
  </si>
  <si>
    <t>Plastic_Audit_Differential_Loader</t>
  </si>
  <si>
    <t>PLCClockResetTimeChartDataSource</t>
  </si>
  <si>
    <t>ProductionScheduleLoader</t>
  </si>
  <si>
    <t>QualityDataLoader</t>
  </si>
  <si>
    <t>QualityPageReport</t>
  </si>
  <si>
    <t>RecognitionGenerationWeekSummaryReport</t>
  </si>
  <si>
    <t>RecognitionLotRunDuration</t>
  </si>
  <si>
    <t>RecognitionLotRunDurationWeek</t>
  </si>
  <si>
    <t>RecognitionLotRunDurationWeek_Old</t>
  </si>
  <si>
    <t>RecognitionMonthlySummaryReport</t>
  </si>
  <si>
    <t>RecognitionMonthlySummaryReport_Old</t>
  </si>
  <si>
    <t>RecognitionMonthlySummaryReportDataSource</t>
  </si>
  <si>
    <t>RecognitionOneTimeDeptWeekSummaryReport</t>
  </si>
  <si>
    <t>RecognitionOneTimeDeptWeekSummaryReportTV</t>
  </si>
  <si>
    <t>RecognitionOneTimeDeptWeekTargetReport</t>
  </si>
  <si>
    <t>RecognitionShiftCreditWeekLineSummary</t>
  </si>
  <si>
    <t>RecognitionShiftCreditYearMonthLineSummary</t>
  </si>
  <si>
    <t>RecognitionSummaryDetailsLoader</t>
  </si>
  <si>
    <t>RecognitionSummaryDetailsManualLoader</t>
  </si>
  <si>
    <t>RecognitionSummaryDetailsWeekLoader</t>
  </si>
  <si>
    <t>RecognitionSummaryDetailsWeekLoader_Drop</t>
  </si>
  <si>
    <t>RecognitionSummaryDetailsWeekManualLoader</t>
  </si>
  <si>
    <t>RecognitionSummaryLoader</t>
  </si>
  <si>
    <t>RecognitionSummaryManualLoader</t>
  </si>
  <si>
    <t>RecognitionSummaryWeekLoader</t>
  </si>
  <si>
    <t>RecognitionTargetShiftCreditsReport</t>
  </si>
  <si>
    <t>RecognitionTargetShiftCreditsTransaction</t>
  </si>
  <si>
    <t>RecognitionTargetShiftCreditsWeekReport</t>
  </si>
  <si>
    <t>RecognitionTargetShiftCreditsWeekReport_Old</t>
  </si>
  <si>
    <t>RecognitionTargetShiftCreditsWeekTransaction</t>
  </si>
  <si>
    <t>RecognitionTargetShiftCreditsWeekTransaction_Org</t>
  </si>
  <si>
    <t>RecognitionTargetWeek_LockTransaction</t>
  </si>
  <si>
    <t>RecognitionWeekLineSummaryReport</t>
  </si>
  <si>
    <t>RecognitionWeekSummaryReport</t>
  </si>
  <si>
    <t>RecognitionWeekSummaryReport_Drop</t>
  </si>
  <si>
    <t>RecognitionWeekSummaryReport_Original</t>
  </si>
  <si>
    <t>RecognitionWeekSummaryReportDataSource</t>
  </si>
  <si>
    <t>ReconciliationLosses_Drop</t>
  </si>
  <si>
    <t>ReconciliationLossesCurrentPreviousShiftReport</t>
  </si>
  <si>
    <t>ReconciliationLossesCurrentShiftLoader</t>
  </si>
  <si>
    <t>ReconciliationLossesDataSource</t>
  </si>
  <si>
    <t>ReconciliationLossesPreviousShiftLoader</t>
  </si>
  <si>
    <t>ReconciliationLossesShiftReport</t>
  </si>
  <si>
    <t>ReconciliationShiftDataLoader</t>
  </si>
  <si>
    <t>ReconciliationShiftDataLoader_Manual</t>
  </si>
  <si>
    <t>ReconciliationShiftDataLoader_Old</t>
  </si>
  <si>
    <t>ReconciliationShiftDataLoader_Original</t>
  </si>
  <si>
    <t>Reject4GTTransaction</t>
  </si>
  <si>
    <t>Rejects4GTChartsDataSource</t>
  </si>
  <si>
    <t>Rejects4GTDataSource</t>
  </si>
  <si>
    <t>Rejects4GTMonthChartsDataSource</t>
  </si>
  <si>
    <t>Rejects4GTReportDataSource</t>
  </si>
  <si>
    <t>ReportDowntimeSummary</t>
  </si>
  <si>
    <t>ReprocessEmailReport</t>
  </si>
  <si>
    <t>ReworkReprocess12HourDataSource</t>
  </si>
  <si>
    <t>ReworkReprocessChartsDataSource</t>
  </si>
  <si>
    <t>ReworkReprocessReportDataSource</t>
  </si>
  <si>
    <t>ReworkReprocessTransaction</t>
  </si>
  <si>
    <t>SendEmail</t>
  </si>
  <si>
    <t>Shift2GTPredict_TV_DataSoruce</t>
  </si>
  <si>
    <t>Shift2GTPredictNumbers</t>
  </si>
  <si>
    <t>Shift2GTPredictNumbers_Drop</t>
  </si>
  <si>
    <t>Shift2GTPredictNumbers_PostGre</t>
  </si>
  <si>
    <t>Shift3GTPredict_TV_DataSoruce</t>
  </si>
  <si>
    <t>Shift3GTPredictNumbers</t>
  </si>
  <si>
    <t>Shift3GTPredictNumbers_Drop</t>
  </si>
  <si>
    <t>Shift4GTPredict_TV_DataSoruce</t>
  </si>
  <si>
    <t>Shift4GTPredictNumbers</t>
  </si>
  <si>
    <t>shiftBrief_2GT_HandOver_DataSource</t>
  </si>
  <si>
    <t>shiftBrief_2GT_HandOver_Transaction</t>
  </si>
  <si>
    <t>shiftBrief_3GT_HandOver_DataSource</t>
  </si>
  <si>
    <t>shiftBrief_3GT_HandOver_Transaction</t>
  </si>
  <si>
    <t>shiftBrief_4GT_HandOver_DataSource</t>
  </si>
  <si>
    <t>shiftBrief_4GT_HandOver_Transaction</t>
  </si>
  <si>
    <t>ShiftBrief2GTDataSource</t>
  </si>
  <si>
    <t>ShiftBrief2GTEmailReport</t>
  </si>
  <si>
    <t>ShiftBrief2GTReportDataSource</t>
  </si>
  <si>
    <t>ShiftBrief2GTTransactions</t>
  </si>
  <si>
    <t>ShiftCreditByLinesAndProductsReport</t>
  </si>
  <si>
    <t>ShiftCreditByLinesProductRecognitionFinanceReport</t>
  </si>
  <si>
    <t>ShiftCreditByLinesProductsReport</t>
  </si>
  <si>
    <t>ShiftCreditByLinesProductsReport_Drop</t>
  </si>
  <si>
    <t>ShiftCreditByLinesProductsReport_Org</t>
  </si>
  <si>
    <t>ShiftCreditExcelDataSource</t>
  </si>
  <si>
    <t>ShiftCreditGridViewDataSource</t>
  </si>
  <si>
    <t>ShiftCreditRecognitionFinanceCalendarLoader</t>
  </si>
  <si>
    <t>ShiftCreditRecognitionFinanceDetailsReport</t>
  </si>
  <si>
    <t>ShiftCreditRecognitionFinanceSummaryReport</t>
  </si>
  <si>
    <t>ShiftCreditRecognitionFinanceTransaction</t>
  </si>
  <si>
    <t>ShiftDowntimeAnalizer</t>
  </si>
  <si>
    <t>sp_alterdiagram</t>
  </si>
  <si>
    <t>sp_creatediagram</t>
  </si>
  <si>
    <t>sp_dropdiagram</t>
  </si>
  <si>
    <t>sp_helpdiagramdefinition</t>
  </si>
  <si>
    <t>sp_helpdiagrams</t>
  </si>
  <si>
    <t>sp_renamediagram</t>
  </si>
  <si>
    <t>sp_upgraddiagrams</t>
  </si>
  <si>
    <t>SparePartPopupReport</t>
  </si>
  <si>
    <t>SparePartsLoader</t>
  </si>
  <si>
    <t>spc_ReportCharts</t>
  </si>
  <si>
    <t>spcReportCharts</t>
  </si>
  <si>
    <t>SterilizationData_Report</t>
  </si>
  <si>
    <t>Update_3GT_Product_CFPM_Targets</t>
  </si>
  <si>
    <t>UpdateBusinessPlanTarget</t>
  </si>
  <si>
    <t>UpdateRecognitionWeekTarget</t>
  </si>
  <si>
    <t>VistakonChallengeShiftCredits</t>
  </si>
  <si>
    <t>WeekLPS_Production</t>
  </si>
  <si>
    <t>WeekLPS_Production_Drop</t>
  </si>
  <si>
    <t>WeekLPS_Production_Org</t>
  </si>
  <si>
    <t>YieldBySKUReports</t>
  </si>
  <si>
    <t>EmailFiveLastShiftsCMMSData</t>
  </si>
  <si>
    <t>EmailFiveLastShiftsCMMSData_Drop</t>
  </si>
  <si>
    <t>getTagHourValue_2GT_NewPostGreSQL</t>
  </si>
  <si>
    <t>Split</t>
  </si>
  <si>
    <t>ErrorAlert</t>
  </si>
  <si>
    <t>SQL_TRIGGER</t>
  </si>
  <si>
    <t>MaintShiftCreditsHistory</t>
  </si>
  <si>
    <t>MaintShiftCreditsHistory_tmpBP</t>
  </si>
  <si>
    <t>SendEmailOnInsert</t>
  </si>
  <si>
    <t>SendEmailOnUpdate</t>
  </si>
  <si>
    <t>shift_Brief_2GTHandOver_Trigger</t>
  </si>
  <si>
    <t>shift_Brief_3GTHandOver_Trigger</t>
  </si>
  <si>
    <t>shift_Brief_4GTHandOver_Trigger</t>
  </si>
  <si>
    <t>TableShiftBrief2GTEndOfShiftLoader</t>
  </si>
  <si>
    <t>TableShiftBrief2GTEndOfShiftLoader_tmpBP</t>
  </si>
  <si>
    <t>TableShiftBrief2GTEndOfShiftYieldLoader</t>
  </si>
  <si>
    <t>UpdateDueDate</t>
  </si>
  <si>
    <t>CMMS_DownTime_View</t>
  </si>
  <si>
    <t>HS_2GT_Data_View</t>
  </si>
  <si>
    <t>LPM_2GT_Data_View</t>
  </si>
  <si>
    <t>MFG_CMMS_View</t>
  </si>
  <si>
    <t>MFG_Eng_2GTCMMS_View</t>
  </si>
  <si>
    <t>MSP_Detain_Count</t>
  </si>
  <si>
    <t>Plan_Attain_LPS</t>
  </si>
  <si>
    <t>Production_Schedule_3GT</t>
  </si>
  <si>
    <t>Reconciliation_Data_View</t>
  </si>
  <si>
    <t>RnD_CMMS_View</t>
  </si>
  <si>
    <t>Shift_Production_View</t>
  </si>
  <si>
    <t>Tableau_2GTALI_View</t>
  </si>
  <si>
    <t>Tableau_3GTALI_View</t>
  </si>
  <si>
    <t>Tableau_3GTWaterFall_View</t>
  </si>
  <si>
    <t>Tableau_4GTALI_View</t>
  </si>
  <si>
    <t>Tableau_Brand_SKU_Chng_View</t>
  </si>
  <si>
    <t>Tableau_Brand_View</t>
  </si>
  <si>
    <t>Tableau_CMMS_View</t>
  </si>
  <si>
    <t>Tableau_Finance_Calendar_View</t>
  </si>
  <si>
    <t>Tableau_Finance_Calendar_WeekCount_View</t>
  </si>
  <si>
    <t>Tableau_FMD_CMMS_Detail_View</t>
  </si>
  <si>
    <t>Tableau_FMD_CMMS_View</t>
  </si>
  <si>
    <t>Tableau_FMD_Data_View</t>
  </si>
  <si>
    <t>Tableau_Line_Brand_LotQty_View</t>
  </si>
  <si>
    <t>Tableau_Lot_ShperePower_View</t>
  </si>
  <si>
    <t>Tableau_Lot_Start_Date_3GT</t>
  </si>
  <si>
    <t>Tableau_Lot_View</t>
  </si>
  <si>
    <t>Tableau_LPS_Production_View</t>
  </si>
  <si>
    <t>Tableau_LPS_Target_View</t>
  </si>
  <si>
    <t>Tableau_Mold_View</t>
  </si>
  <si>
    <t>Tableau_NetVolume_Brand</t>
  </si>
  <si>
    <t>Tableau_NetVolume_Line</t>
  </si>
  <si>
    <t>Tableau_OEE_View</t>
  </si>
  <si>
    <t>Tableau_OEE2_View</t>
  </si>
  <si>
    <t>Tableau_Packed_Lens_View</t>
  </si>
  <si>
    <t>Tableau_Plastic_Differential</t>
  </si>
  <si>
    <t>Tableau_Reconciliation_Data_View</t>
  </si>
  <si>
    <t>Tableau_Reconciliation_Lot_View</t>
  </si>
  <si>
    <t>Tableau_Servo_Data</t>
  </si>
  <si>
    <t>Tableau_Servo_Data_Old</t>
  </si>
  <si>
    <t>Tableau_Shift_LPS_View</t>
  </si>
  <si>
    <t>Tableau_ShiftCredit_View</t>
  </si>
  <si>
    <t>Tableau2GTCMMS_View</t>
  </si>
  <si>
    <t>Tableau2GTCurrData_View</t>
  </si>
  <si>
    <t>Tableau2GTData_View</t>
  </si>
  <si>
    <t>Tableau2GTHandOver_View</t>
  </si>
  <si>
    <t>Tableau3GT_HeatMap_Test</t>
  </si>
  <si>
    <t>Tableau3GTCMMS_View</t>
  </si>
  <si>
    <t>Tableau3GTCurrData_View</t>
  </si>
  <si>
    <t>Tableau3GTData_View</t>
  </si>
  <si>
    <t>Tableau3GTHandOver_View</t>
  </si>
  <si>
    <t>Tableau4GTCMMS_View</t>
  </si>
  <si>
    <t>Tableau4GTData_View</t>
  </si>
  <si>
    <t>Tableau4GTHandOver_View</t>
  </si>
  <si>
    <t>TableauShiftCredit_View</t>
  </si>
  <si>
    <t>TableauShiftDownTime_View</t>
  </si>
  <si>
    <t>Vibes_Lot_NC_Event_View</t>
  </si>
  <si>
    <t>view_CMMS_KPI</t>
  </si>
  <si>
    <t>view_DefectsBySKULotNum</t>
  </si>
  <si>
    <t>view_LensCost</t>
  </si>
  <si>
    <t>type_desc</t>
  </si>
  <si>
    <t>MatchPosition</t>
  </si>
  <si>
    <t>ReferenceContext</t>
  </si>
  <si>
    <t>ion: Changed to pull Data from new historian server WVISUS2GTSER4H    Author:   Pedro DiazCruz  Created:   202/07/16  Description: Changed Servers to VISUSJANAW0002                    EXEC ALIByHoursReportDataSource2GT 5, '07/02/2024 C'  *******************************************************************************************************************/  CREATE PROCEDURE [dbo].[ALIByHoursReportDataSource2GT]        @LineID SMALLINT,       @ProductionDateTeam VARCHAR(15)  AS  BEGIN  /*************</t>
  </si>
  <si>
    <t>_date, cav1, cav2, cav3, cav4, cav5, cav6, cav7,              cav8, cav9, cav10, cav11, cav12, cav13, cav14, cav15, cav16              FROM OpenQuery(VISUSJANAW0002,                ''SELECT * FROM                OpenQuery(INSQL,                ''''SELECT '+CONVERT(varchar(3), @LineID)+' lineid,                CONVERT(VARCHAR(25),DateTime,120) production_date '+@TagPart+'                 FROM Runtime.dbo.WideHistory                WHERE wwVersion = "Latest"                AND DateTime &gt;="'+@Perio</t>
  </si>
  <si>
    <t>05/23   Description: Added new historian server WVISUS3GTSER4H      Author:   Pedro DiazCruz   Created:   202/07/16   Description: Changed Servers to VISUSJANAW0002        EXEC ALIByHoursReportDataSource3GT 15,'07/13/2024 B'  ********************************************************************************************************************/  CREATE PROCEDURE [dbo].[ALIByHoursReportDataSource3GT]        @LineID SMALLINT,       @ProductionDateTeam VARCHAR(15)  AS  BEGIN     SET NOCOUNT ON;     DE</t>
  </si>
  <si>
    <t xml:space="preserve">AS VARCHAR(2)),2)+'-'+          RIGHT('0'+CAST(DATEPART(hh,DATEADD(hh,1,h.DateTime)) AS VARCHAR(2)),2),          mac.comments, MAX(h.Value)      FROM VISUSJANAW0002.Runtime.dbo.History h      LEFT JOIN maint_LineTag mlt      JOIN maint_Line ml ON ml.LineID=mlt.LineID      ON h.tagname=mlt.tagname         LEFT JOIN maint_ALICode mac      ON h.tagname LIKE '%'+ mac.alicodeid      WHERE h.TagName LIKE '%'+'ALI_FAIL_CNT_'+'%'      AND h.wwRetrievalMode ='Cyclic'      AND h.wwVersion = 'Latest'      </t>
  </si>
  <si>
    <t>D(mi,5,@PeriodStart) --eliminate previouse shift data      AND h.DateTime&lt; DATEADD(mi,5,@PeriodEnd)      AND mlt.deptid='3GT'      AND mlt.InSQLName='VISUSJANAW0002'      AND mlt.lineid=@LineID      AND mlt.parametername='ALI'      AND mlt.activeind='Y'      AND mac.comments IS NOT NULL --this line eliminate case when ALI defect is not determined      GROUP BY CONVERT(VARCHAR(10),h.DateTime,101),         RIGHT('0'+CAST(DATEPART(hh,h.DateTime) AS VARCHAR(2)),2)+'-'+         RIGHT('0'+CAST(DATEPAR</t>
  </si>
  <si>
    <t>, sample_date, cav1,cav2,cav3,cav4,cav5,cav6,cav7,cav8,      cav9,cav10,cav11,cav12,cav13,cav14,cav15,cav16,ProductionDate,TeamID      FROM OpenQuery(VISUSJANAW0002,      ''SELECT DISTINCT *,CAST('''''+@ProductionDate+''''' AS DATETIME) ProductionDate,'''''+@TeamID+''''' TeamID        FROM OpenQuery(INSQL,          ''''SELECT  '+CONVERT(varchar(3), @LineID)+' lineid,            CONVERT(VARCHAR(25),DateTime,120) sample_date '+@TagPart+'           FROM Runtime.dbo.WideHistory          WHERE DateTi</t>
  </si>
  <si>
    <t xml:space="preserve">              hour_lensNumber, hour_aliData, and shift_alidata     Author:   Pedro DiazCruz   Created:   2022/03/09   Description: Changed Servers to VISUSJANAW0002, replaced @Tagname to point to getTagHourValue_3GT    EXEC ALILPHDataLoader3GT  ****************************************************************************************************************/  CREATE PROCEDURE [dbo].[ALILPHDataLoader3GT]    AS  BEGIN      SET NOCOUNT ON       IF OBJECT_ID('tempdb..#TempRecords') IS NOT NULL DROP TA</t>
  </si>
  <si>
    <t>IN/OUT due to ALI       computer chaned and attribute tags broke      Author:   Pedro DiazCruz  Created:   202/07/16  Description: Changed Servers to VISUSJANAW0002, updated Get functions     EXEC ALILPHDataLoader4GT      **************************************************************************************************************************/    CREATE PROCEDURE [dbo].[ALILPHDataLoader4GT]                                                 AS                                              BEGIN   SE</t>
  </si>
  <si>
    <t xml:space="preserve"> Value,        CASE WHEN vValue IS NULL OR vValue='' OR LEN(vValue)=0  THEN 'PALID'--Pre ALI Defect        ELSE vValue        END,'Carrier01'    FROM VISUSJANAW0002.Runtime.dbo.History    WHERE TagName IN          ('L51_ALI01_Carrier01.CarrierCnt','L51_ALI01_Carrier01_Data01.01', 'L51_ALI01_Carrier01_Data01.02',          'L51_ALI01_Carrier01_Data01.03', 'L51_ALI01_Carrier01_Data01.04', 'L51_ALI01_Carrier01_Data01.05',           'L51_ALI01_Carrier01_Data01.06', 'L51_ALI01_Carrier01_Data01.07', 'L</t>
  </si>
  <si>
    <t xml:space="preserve"> Value,        CASE WHEN vValue IS NULL OR vValue='' OR LEN(vValue)=0  THEN 'PALID'--Pre ALI Defect        ELSE vValue        END,'Carrier02'    FROM VISUSJANAW0002.Runtime.dbo.History    WHERE TagName IN          ('L51_ALI01_Carrier02.CarrierCnt','L51_ALI01_Carrier02_Data01.01', 'L51_ALI01_carrier02_Data01.02',          'L51_ALI01_carrier02_Data01.03', 'L51_ALI01_carrier02_Data01.04', 'L51_ALI01_carrier02_Data01.05',           'L51_ALI01_carrier02_Data01.06', 'L51_ALI01_carrier02_Data01.07', 'L</t>
  </si>
  <si>
    <t xml:space="preserve"> Value,        CASE WHEN vValue IS NULL OR vValue='' OR LEN(vValue)=0  THEN 'PALID'--Pre ALI Defect        ELSE vValue        END,'Carrier03'    FROM VISUSJANAW0002.Runtime.dbo.History    WHERE TagName IN          ('L51_ALI01_carrier03.CarrierCnt','L51_ALI01_carrier03_Data01.01', 'L51_ALI01_carrier03_Data01.02',          'L51_ALI01_carrier03_Data01.03', 'L51_ALI01_carrier03_Data01.04', 'L51_ALI01_carrier03_Data01.05',           'L51_ALI01_carrier03_Data01.06', 'L51_ALI01_carrier03_Data01.07', 'L</t>
  </si>
  <si>
    <t xml:space="preserve"> Value,        CASE WHEN vValue IS NULL OR vValue='' OR LEN(vValue)=0  THEN 'PALID'--Pre ALI Defect        ELSE vValue        END,'Carrier01'    FROM VISUSJANAW0002.Runtime.dbo.History    WHERE TagName IN          ('L52_ALI01_Carrier01.CarrierCnt','L52_ALI01_Carrier01_Data01.01', 'L52_ALI01_Carrier01_Data01.02',          'L52_ALI01_Carrier01_Data01.03', 'L52_ALI01_Carrier01_Data01.04', 'L52_ALI01_Carrier01_Data01.05',           'L52_ALI01_Carrier01_Data01.06', 'L52_ALI01_Carrier01_Data01.07', 'L</t>
  </si>
  <si>
    <t>, Value,        CASE WHEN vValue IS NULL OR vValue='' OR LEN(vValue)=0 THEN 'PALID'--Pre ALI Defect        ELSE vValue        END,'Carrier02'    FROM VISUSJANAW0002.Runtime.dbo.History    WHERE TagName IN          ('L52_ALI01_Carrier02.CarrierCnt','L52_ALI01_carrier02_Data01.01', 'L52_ALI01_carrier02_Data01.02',          'L52_ALI01_carrier02_Data01.03', 'L52_ALI01_carrier02_Data01.04', 'L52_ALI01_carrier02_Data01.05',           'L52_ALI01_carrier02_Data01.06', 'L52_ALI01_carrier02_Data01.07', 'L</t>
  </si>
  <si>
    <t>Value,        CASE WHEN vValue IS NULL OR vValue='' OR LEN(vValue)=0  THEN 'PALID'--Pre ALI Defect         ELSE vValue        END,'Carrier03'    FROM VISUSJANAW0002.Runtime.dbo.History    WHERE TagName IN          ('L52_ALI01_carrier03.CarrierCnt','L52_ALI01_carrier03_Data01.01', 'L52_ALI01_carrier03_Data01.02',          'L52_ALI01_carrier03_Data01.03', 'L52_ALI01_carrier03_Data01.04', 'L52_ALI01_carrier03_Data01.05',           'L52_ALI01_carrier03_Data01.06', 'L52_ALI01_carrier03_Data01.07', 'L</t>
  </si>
  <si>
    <t xml:space="preserve">   --    CASE WHEN vValue IS NULL OR vValue='' OR LEN(vValue)=0  THEN 'PALID'--Pre ALI Defect    --    ELSE vValue    --    END,'Carrier01'    --FROM VISUSJANAW0002.Runtime.dbo.History    --WHERE TagName IN     --     ('L55_ALI01_Carrier01.CarrierCnt','L55_ALI01_Carrier01_Data01.01', 'L55_ALI01_Carrier01_Data01.02',    --      'L55_ALI01_Carrier01_Data01.03', 'L55_ALI01_Carrier01_Data01.04', 'L55_ALI01_Carrier01_Data01.05',     --      'L55_ALI01_Carrier01_Data01.06', 'L55_ALI01_Carrier01_Data01</t>
  </si>
  <si>
    <t xml:space="preserve">   --    CASE WHEN vValue IS NULL OR vValue='' OR LEN(vValue)=0  THEN 'PALID'--Pre ALI Defect    --    ELSE vValue    --    END,'Carrier02'    --FROM VISUSJANAW0002.Runtime.dbo.History    --WHERE TagName IN     --     ('L55_ALI01_Carrier02.CarrierCnt','L55_ALI01_Carrier02_Data01.01', 'L55_ALI01_carrier02_Data01.02',    --      'L55_ALI01_carrier02_Data01.03', 'L55_ALI01_carrier02_Data01.04', 'L55_ALI01_carrier02_Data01.05',     --      'L55_ALI01_carrier02_Data01.06', 'L55_ALI01_carrier02_Data01</t>
  </si>
  <si>
    <t xml:space="preserve">  --    CASE WHEN vValue IS NULL OR vValue='' OR LEN(vValue)=0  THEN 'PALID'--Pre ALI Defect     --    ELSE vValue    --    END,'Carrier03'    --FROM VISUSJANAW0002.Runtime.dbo.History    --WHERE TagName IN     --     ('L55_ALI01_carrier03.CarrierCnt','L55_ALI01_carrier03_Data01.01', 'L55_ALI01_carrier03_Data01.02',    --      'L55_ALI01_carrier03_Data01.03', 'L55_ALI01_carrier03_Data01.04', 'L55_ALI01_carrier03_Data01.05',     --      'L55_ALI01_carrier03_Data01.06', 'L55_ALI01_carrier03_Data01</t>
  </si>
  <si>
    <t xml:space="preserve"> --GROUP BY ALIDefect      --SELECT  @Total=COUNT(*)     --FROM @ALIRecordSet --WHERE ALIDefect &lt;&gt; 'Total'          SELECT  @Total=SUM(value)    FROM VISUSJANAW0002.Runtime.dbo.History      WHERE TagName = 'L55_Stat_ALI_GBRobot.IN'    AND wwRetrievalMode = 'COUNTER'    AND wwResolution = 1000--every second!!!!!!!!!!!!!!!!!    AND DateTime &gt;= @DateTimeFrom    AND DateTime &lt;= DATEADD(ss,-1,@DateTimeTo) --@DateTimeTo      SELECT @AlIDefect=SUM(value)    FROM VISUSJANAW0002.Runtime.dbo.History    WH</t>
  </si>
  <si>
    <t xml:space="preserve">!!!!!!!!!!!!!!    AND DateTime &gt;= @DateTimeFrom    AND DateTime &lt;= DATEADD(ss,-1,@DateTimeTo) --@DateTimeTo      SELECT @AlIDefect=SUM(value)    FROM VISUSJANAW0002.Runtime.dbo.History    WHERE TagName = 'L55_Stat_ALI_GBRobot.OUT'    AND wwRetrievalMode = 'COUNTER'    AND wwResolution = 1000--every second!!!!!!!!!!!!!!!!!    AND DateTime &gt;= @DateTimeFrom    AND DateTime &lt;= DATEADD(ss,-1,@DateTimeTo) --@DateTimeTo      IF  @Total &lt;&gt; 0 -- Added by BF: 12/28/2015     UPDATE hour_LensNumberTemp_4GT </t>
  </si>
  <si>
    <t xml:space="preserve"> Value,        CASE WHEN vValue IS NULL OR vValue='' OR LEN(vValue)=0  THEN 'PALID'--Pre ALI Defect        ELSE vValue        END,'Carrier01'    FROM VISUSJANAW0002.Runtime.dbo.History    WHERE TagName IN          ('L56_ALI01_Carrier01.CarrierCnt','L56_ALI01_Carrier01_Data01.01', 'L56_ALI01_Carrier01_Data01.02',          'L56_ALI01_Carrier01_Data01.03', 'L56_ALI01_Carrier01_Data01.04', 'L56_ALI01_Carrier01_Data01.05',           'L56_ALI01_Carrier01_Data01.06', 'L56_ALI01_Carrier01_Data01.07', 'L</t>
  </si>
  <si>
    <t xml:space="preserve"> Value,        CASE WHEN vValue IS NULL OR vValue='' OR LEN(vValue)=0  THEN 'PALID'--Pre ALI Defect        ELSE vValue        END,'Carrier02'    FROM VISUSJANAW0002.Runtime.dbo.History    WHERE TagName IN          ('L56_ALI01_Carrier02.CarrierCnt','L56_ALI01_Carrier02_Data01.01', 'L56_ALI01_carrier02_Data01.02',          'L56_ALI01_carrier02_Data01.03', 'L56_ALI01_carrier02_Data01.04', 'L56_ALI01_carrier02_Data01.05',           'L56_ALI01_carrier02_Data01.06', 'L56_ALI01_carrier02_Data01.07', 'L</t>
  </si>
  <si>
    <t>Value,        CASE WHEN vValue IS NULL OR vValue='' OR LEN(vValue)=0  THEN 'PALID'--Pre ALI Defect         ELSE vValue        END,'Carrier03'    FROM VISUSJANAW0002.Runtime.dbo.History    WHERE TagName IN          ('L56_ALI01_carrier03.CarrierCnt','L56_ALI01_carrier03_Data01.01', 'L56_ALI01_carrier03_Data01.02',          'L56_ALI01_carrier03_Data01.03', 'L56_ALI01_carrier03_Data01.04', 'L56_ALI01_carrier03_Data01.05',           'L56_ALI01_carrier03_Data01.06', 'L56_ALI01_carrier03_Data01.07', 'L</t>
  </si>
  <si>
    <t>ateTime,20), Value,    CASE WHEN vValue IS NULL OR vValue='' OR LEN(vValue)=0  THEN 'PALID'--Pre ALI Defect    ELSE vValue    END,'Carrier01'    FROM VISUSJANAW0002.Runtime.dbo.History    WHERE TagName IN          ('L61_ALI_DetailedResults.Carrier1.PFresults.CarrierCnt','L61_ALI_DetailedResults.Carrier1.Data1_0',           'L61_ALI_DetailedResults.Carrier1.Data1_1', 'L61_ALI_DetailedResults.Carrier1.Data1_2',           'L61_ALI_DetailedResults.Carrier1.Data1_3', 'L61_ALI_DetailedResults.Carrier1</t>
  </si>
  <si>
    <t>DateTime,20), Value,    CASE WHEN vValue IS NULL OR vValue='' OR LEN(vValue)=0  THEN 'PALID'--Pre ALI Defect    ELSE vValue    END,'Carrier02'   FROM VISUSJANAW0002.Runtime.dbo.History   WHERE TagName IN         ('L61_ALI_DetailedResults.Carrier2.PFresults.CarrierCnt','L61_ALI_DetailedResults.Carrier2.Data1_0',          'L61_ALI_DetailedResults.Carrier2.Data1_1', 'L61_ALI_DetailedResults.Carrier2.Data1_2',          'L61_ALI_DetailedResults.Carrier2.Data1_3', 'L61_ALI_DetailedResults.Carrier2.Dat</t>
  </si>
  <si>
    <t>ateTime,20), Value,    CASE WHEN vValue IS NULL OR vValue='' OR LEN(vValue)=0  THEN 'PALID'--Pre ALI Defect    ELSE vValue    END,'Carrier03'    FROM VISUSJANAW0002.Runtime.dbo.History    WHERE TagName IN          ('L61_ALI_DetailedResults.Carrier3.PFresults.CarrierCnt','L61_ALI_DetailedResults.Carrier3.Data1_0',           'L61_ALI_DetailedResults.Carrier3.Data1_1', 'L61_ALI_DetailedResults.Carrier3.Data1_2',           'L61_ALI_DetailedResults.Carrier3.Data1_3', 'L61_ALI_DetailedResults.Carrier3</t>
  </si>
  <si>
    <t xml:space="preserve">IN/OUT due to ALI       computer chaned and attribute tags broke      Author:   Pedro DiazCruz  Created:   202/07/16  Description: Changed Servers to VISUSJANAW0002, updated Get functions     EXEC ALILPHDataLoader4GT_Drop      **************************************************************************************************************************/    CREATE PROCEDURE [dbo].[ALILPHDataLoader4GT_Drop]                                                 AS                                              </t>
  </si>
  <si>
    <t xml:space="preserve">   --    CASE WHEN vValue IS NULL OR vValue='' OR LEN(vValue)=0  THEN 'PALID'--Pre ALI Defect    --    ELSE vValue    --    END,'Carrier01'    --FROM VISUSJANAW0002.Runtime.dbo.History    --WHERE TagName IN     --     ('L51_ALI01_Carrier01.CarrierCnt','L51_ALI01_Carrier01_Data01.01', 'L51_ALI01_Carrier01_Data01.02',    --      'L51_ALI01_Carrier01_Data01.03', 'L51_ALI01_Carrier01_Data01.04', 'L51_ALI01_Carrier01_Data01.05',     --      'L51_ALI01_Carrier01_Data01.06', 'L51_ALI01_Carrier01_Data01</t>
  </si>
  <si>
    <t xml:space="preserve">   --    CASE WHEN vValue IS NULL OR vValue='' OR LEN(vValue)=0  THEN 'PALID'--Pre ALI Defect    --    ELSE vValue    --    END,'Carrier02'    --FROM VISUSJANAW0002.Runtime.dbo.History    --WHERE TagName IN     --     ('L51_ALI01_Carrier02.CarrierCnt','L51_ALI01_Carrier02_Data01.01', 'L51_ALI01_carrier02_Data01.02',    --      'L51_ALI01_carrier02_Data01.03', 'L51_ALI01_carrier02_Data01.04', 'L51_ALI01_carrier02_Data01.05',     --      'L51_ALI01_carrier02_Data01.06', 'L51_ALI01_carrier02_Data01</t>
  </si>
  <si>
    <t xml:space="preserve">   --    CASE WHEN vValue IS NULL OR vValue='' OR LEN(vValue)=0  THEN 'PALID'--Pre ALI Defect    --    ELSE vValue    --    END,'Carrier03'    --FROM VISUSJANAW0002.Runtime.dbo.History    --WHERE TagName IN     --     ('L51_ALI01_carrier03.CarrierCnt','L51_ALI01_carrier03_Data01.01', 'L51_ALI01_carrier03_Data01.02',    --      'L51_ALI01_carrier03_Data01.03', 'L51_ALI01_carrier03_Data01.04', 'L51_ALI01_carrier03_Data01.05',     --      'L51_ALI01_carrier03_Data01.06', 'L51_ALI01_carrier03_Data01</t>
  </si>
  <si>
    <t xml:space="preserve">   --    CASE WHEN vValue IS NULL OR vValue='' OR LEN(vValue)=0  THEN 'PALID'--Pre ALI Defect    --    ELSE vValue    --    END,'Carrier01'    --FROM VISUSJANAW0002.Runtime.dbo.History    --WHERE TagName IN     --     ('L52_ALI01_Carrier01.CarrierCnt','L52_ALI01_Carrier01_Data01.01', 'L52_ALI01_Carrier01_Data01.02',    --      'L52_ALI01_Carrier01_Data01.03', 'L52_ALI01_Carrier01_Data01.04', 'L52_ALI01_Carrier01_Data01.05',     --      'L52_ALI01_Carrier01_Data01.06', 'L52_ALI01_Carrier01_Data01</t>
  </si>
  <si>
    <t xml:space="preserve">    --    CASE WHEN vValue IS NULL OR vValue='' OR LEN(vValue)=0 THEN 'PALID'--Pre ALI Defect    --    ELSE vValue    --    END,'Carrier02'    --FROM VISUSJANAW0002.Runtime.dbo.History    --WHERE TagName IN     --     ('L52_ALI01_Carrier02.CarrierCnt','L52_ALI01_carrier02_Data01.01', 'L52_ALI01_carrier02_Data01.02',    --      'L52_ALI01_carrier02_Data01.03', 'L52_ALI01_carrier02_Data01.04', 'L52_ALI01_carrier02_Data01.05',     --      'L52_ALI01_carrier02_Data01.06', 'L52_ALI01_carrier02_Data01</t>
  </si>
  <si>
    <t xml:space="preserve">  --    CASE WHEN vValue IS NULL OR vValue='' OR LEN(vValue)=0  THEN 'PALID'--Pre ALI Defect     --    ELSE vValue    --    END,'Carrier03'    --FROM VISUSJANAW0002.Runtime.dbo.History    --WHERE TagName IN     --     ('L52_ALI01_carrier03.CarrierCnt','L52_ALI01_carrier03_Data01.01', 'L52_ALI01_carrier03_Data01.02',    --      'L52_ALI01_carrier03_Data01.03', 'L52_ALI01_carrier03_Data01.04', 'L52_ALI01_carrier03_Data01.05',     --      'L52_ALI01_carrier03_Data01.06', 'L52_ALI01_carrier03_Data01</t>
  </si>
  <si>
    <t xml:space="preserve"> Value,        CASE WHEN vValue IS NULL OR vValue='' OR LEN(vValue)=0  THEN 'PALID'--Pre ALI Defect        ELSE vValue        END,'Carrier01'    FROM VISUSJANAW0002.Runtime.dbo.History    WHERE TagName IN          ('L55_ALI01_Carrier01.CarrierCnt','L55_ALI01_Carrier01_Data01.01', 'L55_ALI01_Carrier01_Data01.02',          'L55_ALI01_Carrier01_Data01.03', 'L55_ALI01_Carrier01_Data01.04', 'L55_ALI01_Carrier01_Data01.05',           'L55_ALI01_Carrier01_Data01.06', 'L55_ALI01_Carrier01_Data01.07', 'L</t>
  </si>
  <si>
    <t xml:space="preserve"> Value,        CASE WHEN vValue IS NULL OR vValue='' OR LEN(vValue)=0  THEN 'PALID'--Pre ALI Defect        ELSE vValue        END,'Carrier02'    FROM VISUSJANAW0002.Runtime.dbo.History    WHERE TagName IN          ('L55_ALI01_Carrier02.CarrierCnt','L55_ALI01_Carrier02_Data01.01', 'L55_ALI01_carrier02_Data01.02',          'L55_ALI01_carrier02_Data01.03', 'L55_ALI01_carrier02_Data01.04', 'L55_ALI01_carrier02_Data01.05',           'L55_ALI01_carrier02_Data01.06', 'L55_ALI01_carrier02_Data01.07', 'L</t>
  </si>
  <si>
    <t xml:space="preserve"> Value,        CASE WHEN vValue IS NULL OR vValue='' OR LEN(vValue)=0  THEN 'PALID'--Pre ALI Defect        ELSE vValue        END,'Carrier03'    FROM VISUSJANAW0002.Runtime.dbo.History    WHERE TagName IN          ('L55_ALI01_carrier03.CarrierCnt','L55_ALI01_carrier03_Data01.01', 'L55_ALI01_carrier03_Data01.02',          'L55_ALI01_carrier03_Data01.03', 'L55_ALI01_carrier03_Data01.04', 'L55_ALI01_carrier03_Data01.05',           'L55_ALI01_carrier03_Data01.06', 'L55_ALI01_carrier03_Data01.07', 'L</t>
  </si>
  <si>
    <t xml:space="preserve">IN/OUT due to ALI       computer chaned and attribute tags broke      Author:   Pedro DiazCruz  Created:   202/07/16  Description: Changed Servers to VISUSJANAW0002, updated Get functions     EXEC ALILPHDataLoader4GT      **************************************************************************************************************************/    CREATE PROCEDURE [dbo].[ALILPHDataLoader4GT_Org]                                                 AS                                              BEGIN </t>
  </si>
  <si>
    <t>: Changed to pull Data from new historian server WVISUS2GTSER4H     Author:   Pedro DiazCruz   Created:   202/07/16   Description: Changed Servers to VISUSJANAW0002    EXEC ALIYield2GT '11/24/2024 08:00:00','11/24/2024 09:00:00',01,0  *****************************************************************************************/  CREATE PROCEDURE [dbo].[ALIYield2GT]       @DateTimeFrom AS SMALLDATETIME,       @DateTimeTo AS SMALLDATETIME,       @LineID TINYINT,       @ReturnValue DECIMAL(16,2) OUTPUT</t>
  </si>
  <si>
    <t>SqlStatement=         'SELECT sample_date,cav1,cav2,cav3,cav4,cav5,cav6,cav7,cav8, cav9,cav10,cav11,cav12,cav13,cav14,cav15,cav16      FROM OpenQuery(VISUSJANAW0002,      ''SELECT * FROM OPENQUERY(INSQL,''''SELECT CONVERT(VARCHAR(25),DateTime,120) sample_date,' +SUBSTRING(@TagPart,2,1000)+'         FROM Runtime.dbo.WideHistory      WHERE wwVersion = "Latest"      AND DateTime &gt;="'+CONVERT(VARCHAR(50),@DateTimeFrom,121)+'"      AND DateTime &lt;"'+CONVERT(VARCHAR(50),@DateTimeTo,121)+'"      AND wwR</t>
  </si>
  <si>
    <t>: Changed to pull Data from new historian server WVISUS2GTSER4H     Author:   Pedro DiazCruz   Created:   202/07/16   Description: Changed Servers to VISUSJANAW0002    EXEC ALIYield2GT_DROP '08/05/2024 06:00:00','08/05/2024 09:00:00',07,0  *****************************************************************************************/  CREATE PROCEDURE [dbo].[ALIYield2GT_DROP]       @DateTimeFrom AS SMALLDATETIME,       @DateTimeTo AS SMALLDATETIME,       @LineID TINYINT,       @ReturnValue DECIMAL(16</t>
  </si>
  <si>
    <t>4   Description: Changed to pull Data from new historian server     Author:   Pedro DiazCruz   Created:   202/07/16   Description: Changed Servers to VISUSJANAW0002      EXEC CellPerformanceAndLossesByTeamDate2GTDataSource '05/20/2026 D','2GTCellsInProcessLosses.aspx',0     EXEC CellPerformanceAndLossesByTeamDate2GTDataSource '05/20/2026 D','2GTCellsPerformance.aspx', 0  ***************************************************************************************************/   CREATE PROCEDURE [dbo].</t>
  </si>
  <si>
    <t>ROM db_CurrentPerformance_cursor INTO @LineID, @CellCode, @TagName   WHILE @@FETCH_STATUS = 0      BEGIN        SELECT @TagValue= MAX(value)     FROM VISUSJANAW0002.Runtime.dbo.History    WHERE TagName = @TagName    AND DateTime &gt;= DATEADD(mi,15,@DateTimeFrom)    AND DateTime &lt; GETDATE()     AND wwRetrievalMode = 'CYCLIC'      INSERT INTO #CurrentPerformance (ProductionDate, TeamID, LineID, CellCode, TagName, ReturnedValue)    SELECT @ProductionDate, @TeamID, @LineID, @CellCode, @TagName, @TagVa</t>
  </si>
  <si>
    <t xml:space="preserve"> db_Current_ALI_cursor INTO @LineID, @CellCode, @TagName   WHILE @@FETCH_STATUS = 0      BEGIN        SELECT @TagValue= AVG(ISNULL(value,0))     FROM VISUSJANAW0002.Runtime.dbo.History    WHERE TagName = @TagName    AND DateTime &gt;= @DateTimeFrom    AND DateTime &lt; GETDATE()     AND wwRetrievalMode = 'CYCLIC'      INSERT INTO #CurrentPerformance (ProductionDate, TeamID, LineID, CellCode, TagName, ReturnedValue)    SELECT @ProductionDate, @TeamID, @LineID, @CellCode, @TagName, @TagValue       FETCH</t>
  </si>
  <si>
    <t>eld data we average it within selected period      --SELECT @TagName, @DateTimeFrom, @DateTimeTo        SELECT @ReturnedValue=AVG(h.Value)     FROM   VISUSJANAW0002.Runtime.dbo.History h      WHERE   h.DateTime BETWEEN @DateTimeFrom AND @DateTimeTo      AND h.TagName =@TagName     AND h.wwRetrievalMode = 'Delta'          END    END    UPDATE #RecordSet       SET ProcessInd='Y',        ReturnedValue=@ReturnedValue    WHERE ID=@ID              SET @ReturnedValue=NULL  END     CREATE TABLE #DataSou</t>
  </si>
  <si>
    <t xml:space="preserve">    FROM #TimeRange      WHERE ID=(SELECT MIN(ID)           FROM #TimeRange           WHERE ProcessInd='N')       SELECT @LensQty=MAX(Value)     FROM VISUSJANAW0002.Runtime.dbo.History     WHERE TagName =@TagName     AND wwRetrievalMode = 'Delta'     AND wwVersion = 'Latest'     AND DateTime &gt;= @RangeFrom     AND DateTime &lt;= @RangeTo        UPDATE #TimeRange SET ProcessInd='Y',LensQty=@LensQty  WHERE ID=@ID   END     SELECT CONVERT(VARCHAR(10),t1.ProductionDate,101)+' '+t1.TeamID DateTeam,      </t>
  </si>
  <si>
    <t xml:space="preserve">  LPH DECIMAL(16,2))           INSERT INTO #DataSource (SampleDateTime,CurrentLensQty)      SELECT  CONVERT(VARCHAR(16),DateTime,120), Value     FROM VISUSJANAW0002.Runtime.dbo.History    WHERE TagName=@TagName    AND wwRetrievalMode = 'Cyclic'    AND wwResolution = 60000    AND wwVersion = 'Latest'    --AND QualityDetail=192    AND Quality = 0    AND DateTime &gt; @DateTimeFrom    AND DateTime &lt;= @DateTimeTo          ORDER BY DateTime    IF @CellCode='DM'--Added 10/26/2013 (requested by Ron Eittre</t>
  </si>
  <si>
    <t xml:space="preserve">rentLensQty=#DataSource.CurrentLensQty-t.Value         FROM         (       SELECT  CONVERT(VARCHAR(16),DateTime,120) SampleDateTime, Value      FROM VISUSJANAW0002.Runtime.dbo.History     WHERE TagName=@TagName     AND wwRetrievalMode = 'Cyclic'     AND wwResolution = 60000     AND wwVersion = 'Latest'     --AND QualityDetail=192     AND Quality = 0     AND DateTime &gt; @DateTimeFrom     AND DateTime &lt;= @DateTimeTo         ) t        WHERE #DataSource.SampleDateTime=t.SampleDateTime    END    IF </t>
  </si>
  <si>
    <t>, LPH DECIMAL(16,2))           INSERT INTO #DataSource (SampleDateTime,CurrentLensQty)      SELECT  CONVERT(VARCHAR(16),DateTime,120), Value     FROM VISUSJANAW0002.Runtime.dbo.History    WHERE TagName=@TagName    AND wwRetrievalMode = 'Cyclic'    AND wwResolution = 60000    AND Quality = 0    AND DateTime &gt; @DateTimeFrom    AND DateTime &lt;= @DateTimeTo          ORDER BY DateTime    IF @CellCode='DM'--Added 10/26/2013 (requested by Ron Eittreim)    BEGIN --we need to subtract DM Decentration from</t>
  </si>
  <si>
    <t xml:space="preserve">T #DataSource.CurrentLensQty=#DataSource.CurrentLensQty-t.Value     FROM ( SELECT  CONVERT(VARCHAR(16),DateTime,120) SampleDateTime, Value       FROM VISUSJANAW0002.Runtime.dbo.History      WHERE TagName=@TagName      AND wwRetrievalMode = 'Cyclic'      AND wwResolution = 60000      AND DateTime &gt; @DateTimeFrom      AND DateTime &lt;= @DateTimeTo       ) t      WHERE #DataSource.SampleDateTime=t.SampleDateTime          END    IF @CellCode!='ALIYIELD'   BEGIN          UPDATE #DataSource             </t>
  </si>
  <si>
    <t>18/2015 Replaced reference to shift_aliData with shift_aliData     Author:   Pedro DiazCruz   Created:   2024/07/16   Description: Changed Servers to VISUSJANAW0002    EXEC CellPerformanceDataLoader  ********************************************************************************************************************/  CREATE PROCEDURE [dbo].[CellPerformanceDataLoader]   AS  BEGIN       IF OBJECT_ID('tempdb..#ProductionDateTeam') IS NOT NULL DROP TABLE #ProductionDateTeam   IF OBJECT_ID('tempdb..#</t>
  </si>
  <si>
    <t>*****   Author:   Thure Hoeckelberg   Create date: 2024/07/15   Description: Changed to retrieve hourly data for all 2GT from server replicate server VISUSJANAW0002  **********************************************************************************************************************/  CREATE FUNCTION [dbo].[CellPulse_2GT]                 (@TagName VARCHAR(150))  RETURNS @DataSourceTable TABLE (ID INT,SampleDateTime DATETIME,ValueOut SMALLINT)  AS BEGIN      DECLARE @DateTo AS DATETIME   DECLARE</t>
  </si>
  <si>
    <t>*********************************/   INSERT INTO @ReturnedRecordSet(SampleDateTime,SampleValue)   SELECT DateTime, Value --remove milliseconds   FROM VISUSJANAW0002.Runtime.dbo.History   WHERE TagName=@TagName   AND wwRetrievalMode = 'Delta'   AND wwVersion = 'Latest'   AND DateTime &gt;= DATEADD(hh,-12,@DateTo)   AND DateTime &lt;= @DateTo  /**********************************************************************************************************************   Create table (records with 15 sec increm</t>
  </si>
  <si>
    <t>*****   Author:   Thure Hoeckelberg   Create date: 2024/07/15   Description: Changed to retrieve hourly data for all 3GT from server replicate server VISUSJANAW0002  **********************************************************************************************************************/  CREATE FUNCTION [dbo].[CellPulse_3GT]                 (@TagName VARCHAR(150))  RETURNS @DataSourceTable TABLE (ID INT,SampleDateTime DATETIME,ValueOut SMALLINT)  AS BEGIN      DECLARE @DateTo AS DATETIME   DECLARE</t>
  </si>
  <si>
    <t>*****   Author:   Thure Hoeckelberg   Create date: 2024/07/15   Description: Changed to retrieve hourly data for all 4GT from server replicate server VISUSJANAW0002  **********************************************************************************************************************/  CREATE FUNCTION [dbo].[CellPulse_4GT]                 (@TagName VARCHAR(150))  RETURNS @DataSourceTable TABLE (ID INT,SampleDateTime DATETIME,ValueOut SMALLINT)  AS BEGIN      DECLARE @DateTo AS DATETIME   DECLARE</t>
  </si>
  <si>
    <t>1/19   Description: Changed to pull from historians dynamically     Author:   Pedro DiazCruz   Created:   202/07/16   Description: Changed Servers to VISUSJANAW0002     EXEC CellZoneNoProductionTimeLoader        *******************************************************************************************************************/  CREATE PROCEDURE [dbo].[CellZoneNoProductionTimeLoader]  AS  BEGIN     SET NOCOUNT ON        IF OBJECT_ID('tempdb..#LineColumnNameTag') IS NOT NULL DROP TABLE #LineColumn</t>
  </si>
  <si>
    <t>***********************/   INSERT INTO #LineColumnNameTag (LineID, ColumnName, TagName, ServerName, DeptID)        SELECT LineID, CellCode, TagName, 'VISUSJANAW0002', '2GT'    FROM maint_CellInOutTags    WHERE CellCode NOT LIKE  '%YIELD%'    AND InOut='OUT'    UNION--3GT    SELECT ml.LineID,f.ColumnName,f.TagName, 'VISUSJANAW0002', '3GT'     FROM maint_Line ml    CROSS APPLY dbo.HeatMapTagNameForNumeratorAndDenominator (ml.LineID) f    WHERE ml.DeptID ='3GT'     AND ml.ProductionInd='Y'    AND f</t>
  </si>
  <si>
    <t>'2GT'    FROM maint_CellInOutTags    WHERE CellCode NOT LIKE  '%YIELD%'    AND InOut='OUT'    UNION--3GT    SELECT ml.LineID,f.ColumnName,f.TagName, 'VISUSJANAW0002', '3GT'     FROM maint_Line ml    CROSS APPLY dbo.HeatMapTagNameForNumeratorAndDenominator (ml.LineID) f    WHERE ml.DeptID ='3GT'     AND ml.ProductionInd='Y'    AND f.RecordType='Numerator' AND ColumnName NOT LIKE '%YIELD%'    UNION--4GT     SELECT io4.LineID, io4.CellCode, io4.TagName, 'VISUSJANAW0002', '4GT'      FROM maint_CellI</t>
  </si>
  <si>
    <t>.ProductionInd='Y'    AND f.RecordType='Numerator' AND ColumnName NOT LIKE '%YIELD%'    UNION--4GT     SELECT io4.LineID, io4.CellCode, io4.TagName, 'VISUSJANAW0002', '4GT'      FROM maint_CellInOutTags_4GT io4    JOIN maint_Line ml ON ml.LineID=io4.LineID    WHERE ml.ProductionInd='Y'    AND io4.CellCode NOT LIKE  '%YIELD%'    AND io4.InOut='OUT'    AND InOut='OUT'    /*****************************************************************************************************************   Find latest</t>
  </si>
  <si>
    <t>*****   Author:   Thure Hoeckelberg   Create date: 2024/07/15   Description: Changed to retrieve hourly data for all 2GT from server replicate server VISUSJANAW0002  ***************************************************************************************************************/  CREATE FUNCTION [dbo].[CellZoneNoRunTime_2GT]                   (@TagName VARCHAR(150))    RETURNS @SampleTimeValue TABLE (ID INT,SampleDateTime DATETIME,ValueOut INT)  AS BEGIN         DECLARE @RecordSet AS TABLE (ID IN</t>
  </si>
  <si>
    <t>T IDENTITY(1,1),SampleDateTime DATETIME,LensQty INT)              INSERT INTO @RecordSet(SampleDateTime,LensQty)       SELECT DateTime, Value    FROM VISUSJANAW0002.Runtime.dbo.History    WHERE TagName=@TagName    AND wwRetrievalMode = 'Cyclic'    AND wwResolution = 60000    AND wwVersion = 'Latest'    AND DateTime &gt;= DATEADD(hh,-12,GETDATE())    AND DateTime &lt;= GETDATE()         INSERT INTO @SampleTimeValue(ID,SampleDateTime,ValueOut)       SELECT t1.ID,     CONVERT(VARCHAR(16), t1.SampleDateTi</t>
  </si>
  <si>
    <t>*****   Author:   Thure Hoeckelberg   Create date: 2024/07/15   Description: Changed to retrieve hourly data for all 3GT from server replicate server VISUSJANAW0002  ***************************************************************************************************************/  CREATE FUNCTION [dbo].[CellZoneNoRunTime_3GT]                   (@TagName VARCHAR(150))    RETURNS @SampleTimeValue TABLE (ID INT,SampleDateTime DATETIME,ValueOut INT)  AS BEGIN         DECLARE @RecordSet AS TABLE (ID IN</t>
  </si>
  <si>
    <t>*****   Author:   Thure Hoeckelberg   Create date: 2024/07/15   Description: Changed to retrieve hourly data for all 4GT from server replicate server VISUSJANAW0002  ***************************************************************************************************************/  CREATE FUNCTION [dbo].[CellZoneNoRunTime_4GT]                   (@TagName VARCHAR(150))    RETURNS @SampleTimeValue TABLE (ID INT,SampleDateTime DATETIME,ValueOut INT)  AS BEGIN         DECLARE @RecordSet AS TABLE (ID IN</t>
  </si>
  <si>
    <t>ion to return the hourly value for a tag given two dates and a TagName for        Foreign Matter Data for all 2GT Loader from server replicate server VISUSJANAW0002      ***************************************************************************************************************/  CREATE FUNCTION [dbo].[Get_FMD_HourlyValue_2GT]   (@TagName VARCHAR(150),    @DateTimeFrom DATETIME,    @DateTimeTo DATETIME,    @InSQLName VARCHAR(50))    RETURNS FLOAT  AS  BEGIN  /*********************************</t>
  </si>
  <si>
    <t xml:space="preserve">***************************************************/     IF @TagName LIKE '%_Yield_%'      BEGIN       SELECT @fltHourValue = MAX(vah.value)     FROM VISUSJANAW0002.Runtime.dbo. v_AnalogHistory vah    WHERE vah.tagname  = @TagName    AND DateTime &gt;= DATEADD(mi, 5, @DateTimeFrom)    AND DateTime &lt; @DateTimeTo     GROUP BY vah.tagname   END    /***************************************************************************************************************     Gets Max value at the beginning of the </t>
  </si>
  <si>
    <t>'00')     AND DATEPART(ss, @DateTimeFrom) IN ('00')    AND @TagName NOT LIKE '%_Yield_%'               SELECT @fltHourValue = MAX(vah.value)     FROM VISUSJANAW0002.Runtime.dbo. v_AnalogHistory vah    WHERE vah.tagname  = @TagName    AND DateTime &gt;= DATEADD(mi, 5, @DateTimeFrom)    AND DateTime &lt; @DateTimeTo     GROUP BY vah.tagname     /***************************************************************************************************************     Gets Max value for the selected period and c</t>
  </si>
  <si>
    <t>*****************************************************************************************/   ELSE      SELECT @fltHourValue = SUM(vah.value)     FROM VISUSJANAW0002.Runtime.dbo. v_AnalogHistory vah    WHERE vah.tagname  = @TagName    AND DateTime &gt;= @DateTimeFrom    AND DateTime &lt; @DateTimeTo    AND wwRetrievalMode = 'COUNTER'              /***************************************************************************************************************    Return the value  -- @fltHourValue  ******</t>
  </si>
  <si>
    <t>ion to return the hourly value for a tag given two dates and a TagName for        Foreign Matter Data for all 3GT Loader from server replicate server VISUSJANAW0002      ***************************************************************************************************************/  CREATE FUNCTION [dbo].[Get_FMD_HourlyValue_3GT]   (@TagName VARCHAR(150),    @DateTimeFrom DATETIME,    @DateTimeTo DATETIME,    @InSQLName VARCHAR(50))    RETURNS FLOAT  AS  BEGIN  /*********************************</t>
  </si>
  <si>
    <t>ion to return the hourly value for a tag given two dates and a TagName for        Foreign Matter Data for all 4GT Loader from server replicate server VISUSJANAW0002      ***************************************************************************************************************/  CREATE FUNCTION [dbo].[Get_FMD_HourlyValue_4GT]   (@TagName VARCHAR(150),    @DateTimeFrom DATETIME,    @DateTimeTo DATETIME,    @InSQLName VARCHAR(50))    RETURNS FLOAT  AS  BEGIN  /*********************************</t>
  </si>
  <si>
    <t xml:space="preserve"> -- Function Body   -- Query the Database to get the Current Value based on dates provided   SELECT       @fltCurrValue = MAX(vah.value)    FROM      VISUSJANAW0002.Runtime.dbo.v_AnalogHistory vah      --VISUSJAAPPS34VM.Runtime.dbo.v_AnalogHistory vah    WHERE     vah.tagname = @strTagName   AND vah.quality = 0   --AND vah.QualityDetail IN (192, 252)   AND vah.wwVersion = 'Latest'   AND vah.wwRetrievalMode = 'Cyclic'   AND vah.wwRowCount = 100   AND vah.DateTime BETWEEN DATEADD(mi, -5, @dteEndDa</t>
  </si>
  <si>
    <t>*****   Author:   Thure Hoeckelberg   Create date: 2024/07/15   Description: Changed to retrieve hourly data for all 2GT from server replicate server VISUSJANAW0002     DECLARE @TagValue INT  EXEC @TagValue= dbo.getCurrentValue_2GT 'iFoilRejectsLastShift_PLCP2:CLA11', '2024-07-17 10:00:00'    SELECT @TagValue    ***************************************************************************************************************/  CREATE FUNCTION [dbo].[getCurrentValue_2GT]      (@strTagName AS VARCHAR</t>
  </si>
  <si>
    <t>****************************************************************************************************/   SELECT @fltCurrValue = MAX(vah.value)    FROM VISUSJANAW0002.Runtime.dbo.v_AnalogHistory vah    WHERE vah.tagname = @strTagName   AND vah.quality = 0   AND vah.wwVersion = 'Latest'   AND vah.wwRetrievalMode = 'Cyclic'   AND vah.wwRowCount = 100   AND vah.DateTime &gt; DATEADD(mi, -1, @dteEndDate)    AND vah.DateTime &lt;= @dteEndDate    GROUP BY vah.tagname    /**************************************</t>
  </si>
  <si>
    <t>*****   Author:   Thure Hoeckelberg   Create date: 2024/07/15   Description: Changed to retrieve hourly data for all 3GT from server replicate server VISUSJANAW0002          DECLARE @TagValue INT  EXEC @TagValue=dbo.getCurrentValue_3GT 'L27_PLC1_Global.StatsCnt_Z01.CurrS.Total.In', '2025-09-24 06:00:00'  SELECT @TagValue    ***************************************************************************************************************/  CREATE FUNCTION [dbo].[getCurrentValue_3GT]      (@strTagNam</t>
  </si>
  <si>
    <t>****************************************************************************************************/   SELECT @fltCurrValue = MAX(vah.value)    FROM VISUSJANAW0002.Runtime.dbo.v_AnalogHistory vah    WHERE vah.tagname = @strTagName   AND vah.quality = 0   AND vah.wwVersion = 'Latest'   AND vah.wwRetrievalMode = 'Cyclic'   AND vah.wwRowCount = 100   AND vah.DateTime &gt;= DATEADD(mi, -1, CONVERT(VARCHAR(25),@dteEndDate,120))    AND vah.DateTime &lt; CONVERT(VARCHAR(25),@dteEndDate,120)    GROUP BY vah.</t>
  </si>
  <si>
    <t xml:space="preserve">*****   Author:   Thure Hoeckelberg   Create date: 2024/07/15   Description: Changed to retrieve hourly data for all 4GT from server replicate server VISUSJANAW0002       EXEC dbo.getCurrentValue_4GT 'iFoilRejectsLastShift_PLCP2:CLA11', '06/19/2018 12:00:00'  ***************************************************************************************************************/  CREATE FUNCTION [dbo].[getCurrentValue_4GT]      (@strTagName AS VARCHAR(150),    @dteEndDate DATETIME   )     RETURNS FLOAT  </t>
  </si>
  <si>
    <t>*****   Author:   Thure Hoeckelberg   Create date: 2024/07/15   Description: Changed to retrieve hourly data for all 2GT from server replicate server VISUSJANAW0002    DECLARE @TagValue INT  EXEC @TagValue= dbo.getHourlyValue_2GT 'GP0_GOODCOUNT1',                '2024-07-18 15:00'  SELECT @TagValue    ***************************************************************************************************************/  CREATE FUNCTION [dbo].[getHourlyValue_2GT]      (@strTagName VARCHAR(150),    @dteE</t>
  </si>
  <si>
    <t>E ('%Yield%') OR @strTagName LIKE ('%LotNumber%')       OR @strTagName LIKE ('%LotNum%')    BEGIN     SELECT @fltHourValue = MAX(vah.value)      FROM VISUSJANAW0002.Runtime.dbo. v_AnalogHistory vah     WHERE vah.tagname  = @strTagName     AND DateTime &gt;= DATEADD(mi, 5, @dteStartDate)     AND DateTime &lt; @dteEndDate      GROUP BY vah.tagname        RETURN @fltHourValue   END  /***************************************************************************************************************     Gets M</t>
  </si>
  <si>
    <t>DATEPART(mi, @dteStartDate) IN ('00')     AND DATEPART(ss, @dteStartDate) IN ('00')      BEGIN    SELECT @fltHourValue =MAX(ISNULL(value,0))     FROM VISUSJANAW0002.Runtime.dbo.v_AnalogHistory    WHERE TagName = @strTagName    AND DateTime &gt;= DATEADD(mi, 5, @dteStartDate)    AND DateTime &lt; @dteEndDate     AND wwRetrievalMode = 'CYCLIC'      RETURN @fltHourValue   END      ELSE     BEGIN    SELECT @fltHourValue = SUM(ISNULL(value,0))    FROM VISUSJANAW0002.Runtime.dbo.v_AnalogHistory    WHERE Tag</t>
  </si>
  <si>
    <t xml:space="preserve">EndDate     AND wwRetrievalMode = 'CYCLIC'      RETURN @fltHourValue   END      ELSE     BEGIN    SELECT @fltHourValue = SUM(ISNULL(value,0))    FROM VISUSJANAW0002.Runtime.dbo.v_AnalogHistory    WHERE TagName  = @strTagName    AND DateTime &gt;= @dteStartDate    AND DateTime &lt; @dteEndDate    AND wwRetrievalMode = 'COUNTER'     END       RETURN @fltHourValue    END                          </t>
  </si>
  <si>
    <t>*****   Author:   Thure Hoeckelberg   Create date: 2024/07/15   Description: Changed to retrieve hourly data for all 3GT from server replicate server VISUSJANAW0002    DECLARE @TagValue INT  EXEC @TagValue= dbo.getHourlyValue_3GT 'BP3_LOAD_OUT_CNT',                '2023-01-19 09:00'  SELECT @TagValue    ***************************************************************************************************************/  CREATE FUNCTION [dbo].[getHourlyValue_3GT]      (@strTagName VARCHAR(250),    @dt</t>
  </si>
  <si>
    <t>LIKE ('%Yield%')    OR @strTagName LIKE ('%LotNumber%')    OR @strTagName LIKE ('%LotNum%')       BEGIN     SELECT @fltHourValue = vah.value     FROM VISUSJANAW0002.Runtime.dbo. v_AnalogLive vah     WHERE vah.tagname  = @strTagName      RETURN @fltHourValue    END  /***************************************************************************************************************     Gets Max value at the beginning of the selected period and count of every hour after  *******************************</t>
  </si>
  <si>
    <t>ATEPART(mi, @dteStartDate) IN ('00')     AND DATEPART(ss, @dteStartDate) IN ('00')       BEGIN    SELECT @fltHourValue =MAX(ISNULL(value,0))     FROM VISUSJANAW0002.Runtime.dbo.v_AnalogHistory    WHERE TagName = @strTagName    AND DateTime &gt;= DATEADD(mi, 5, @dteStartDate)    AND DateTime &lt; @dteEndDate     AND wwRetrievalMode = 'CYCLIC'   END   ELSE   BEGIN    SELECT @fltHourValue = SUM(ISNULL(value,0))    FROM VISUSJANAW0002.Runtime.dbo.v_AnalogHistory    WHERE TagName  = @strTagName    AND Date</t>
  </si>
  <si>
    <t xml:space="preserve">artDate)    AND DateTime &lt; @dteEndDate     AND wwRetrievalMode = 'CYCLIC'   END   ELSE   BEGIN    SELECT @fltHourValue = SUM(ISNULL(value,0))    FROM VISUSJANAW0002.Runtime.dbo.v_AnalogHistory    WHERE TagName  = @strTagName    AND DateTime &gt;= @dteStartDate    AND DateTime &lt; @dteEndDate    AND wwRetrievalMode = 'COUNTER'   END     IF @strTagName IN ('EP0_CRV_COUNT1', 'NP0_CRV_COUNT1')       SET @fltHourValue = 2*@fltHourValue     RETURN @fltHourValue     END  </t>
  </si>
  <si>
    <t>*****   Author:   Thure Hoeckelberg   Create date: 2024/07/15   Description: Changed to retrieve hourly data for all 4GT from server replicate server VISUSJANAW0002    DECLARE @TagValue FLOAT  EXEC @TagValue= dbo.getHourlyValue_4GT 'L52_ALI01_HMIReport.Yield.Min', '2022-10-10 08:15'  SELECT @TagValue    ***************************************************************************************************************/  CREATE FUNCTION [dbo].[getHourlyValue_4GT]    (@strTagName VARCHAR(150),    @dteE</t>
  </si>
  <si>
    <t>ld%') OR @strTagName LIKE ('%LotNumber%')       OR @strTagName LIKE ('%LotNum%')       BEGIN     SELECT @fltHourValue = ROUND(AVG(value),2)      FROM VISUSJANAW0002.Runtime.dbo.v_AnalogHistory     WHERE tagname  = @strTagName     AND DateTime &gt;= CONVERT(VARCHAR(25),@dteStartDate,120)     AND DateTime &lt; CONVERT(VARCHAR(25),@dteEndDate,120)          RETURN @fltHourValue    END   /***************************************************************************************************************     Get</t>
  </si>
  <si>
    <t>DATEPART(mi, @dteStartDate) IN ('00')     AND DATEPART(ss, @dteStartDate) IN ('00')      BEGIN    SELECT @fltHourValue =MAX(ISNULL(value,0))     FROM VISUSJANAW0002.Runtime.dbo.v_AnalogHistory    WHERE TagName = @strTagName    AND DateTime &gt;= CONVERT(VARCHAR(25),@dteStartDate,120)    AND DateTime &lt; CONVERT(VARCHAR(25),@dteEndDate,120)     AND wwRetrievalMode = 'CYCLIC'      RETURN @fltHourValue   END     ELSE     BEGIN    SELECT @fltHourValue = SUM(ISNULL(value,0))    FROM VISUSJANAW0002.Runtime</t>
  </si>
  <si>
    <t xml:space="preserve">ate,120)     AND wwRetrievalMode = 'CYCLIC'      RETURN @fltHourValue   END     ELSE     BEGIN    SELECT @fltHourValue = SUM(ISNULL(value,0))    FROM VISUSJANAW0002.Runtime.dbo.v_AnalogHistory    WHERE TagName  = @strTagName    AND DateTime &gt;= CONVERT(VARCHAR(25),@dteStartDate,120)    AND DateTime &lt; CONVERT(VARCHAR(25),@dteEndDate,120)     AND wwRetrievalMode = 'COUNTER'   END     RETURN @fltHourValue       END                          </t>
  </si>
  <si>
    <t>e Date: 2024/07/15   Description: Function to return the hourly value for a tag given two dates and a TagName for        lines using historian server VISUSJANAW0002 for Tabluea Reports    DECLARE @TagValue INT  EXEC @TagValue= dbo.GetTableauHourlyValue_2GT 'L01_iGoodCt_PLCHY',                '2021-02-18 06:00', '2021-02-18 07:00'  SELECT @TagValue  ***************************************************************************************************************/  CREATE FUNCTION [dbo].[GetTableauHo</t>
  </si>
  <si>
    <t>*******************************************/     IF @TagName LIKE '%Statistics.ShiftForecast%'      BEGIN    SELECT @fltHourValue = vah.value    FROM VISUSJANAW0002.Runtime.dbo.v_AnalogHistory vah    WHERE vah.tagname  = @TagName    AND vah.wwRetrievalMode = 'CYCLIC'    AND vah.DateTime = DATEADD(mm,-1,@DateTimeTo)      RETURN @fltHourValue   END  /***************************************************************************************************************     Gets Max value at the beginning o</t>
  </si>
  <si>
    <t>DATEPART(mi, @DateTimeFrom) IN ('00')     AND DATEPART(ss, @DateTimeFrom) IN ('00')      BEGIN    SELECT @fltHourValue =MAX(ISNULL(value,0))     FROM VISUSJANAW0002.Runtime.dbo.v_AnalogHistory    WHERE TagName = @TagName    AND DateTime &gt;= DATEADD(mi, 35, @DateTimeFrom)    AND DateTime &lt; @DateTimeTo     AND wwRetrievalMode = 'CYCLIC'   END     ELSE     BEGIN    SELECT @fltHourValue = SUM(ISNULL(value,0))    FROM VISUSJANAW0002.Runtime.dbo.v_AnalogHistory    WHERE TagName  = @TagName    AND DateT</t>
  </si>
  <si>
    <t>rom)    AND DateTime &lt; @DateTimeTo     AND wwRetrievalMode = 'CYCLIC'   END     ELSE     BEGIN    SELECT @fltHourValue = SUM(ISNULL(value,0))    FROM VISUSJANAW0002.Runtime.dbo.v_AnalogHistory    WHERE TagName  = @TagName    AND DateTime &gt;= @DateTimeFrom    AND DateTime &lt; @DateTimeTo    AND wwRetrievalMode = 'COUNTER'   END         /***************************************************************************************************************    Return the value  -- @fltHourValue  **************</t>
  </si>
  <si>
    <t>e date: 2024/07/15   Description: Function to return the hourly value for a tag given two dates and a TagName for        lines using historian server VISUSJANAW0002 for Tabluea Reports    DECLARE @TagValue INT  EXEC @TagValue= dbo.GetTableauHourlyValue_3GT 'L24_PLC4_EM0602_Stray_Indexer.StatsCnt.CurrS.Total_Out',                '2021-02-18 06:00', '2021-02-18 07:00'  SELECT @TagValue  ***************************************************************************************************************/</t>
  </si>
  <si>
    <t>***************************************************/     IF @TagName LIKE '%Statistics.ShiftForecast%'       SELECT @fltHourValue = vah.value    FROM VISUSJANAW0002.Runtime.dbo.v_AnalogHistory vah    WHERE vah.tagname  = @TagName    AND vah.wwRetrievalMode = 'CYCLIC'    AND vah.DateTime = DATEADD(mm,-1,@DateTimeTo)     /***************************************************************************************************************     Gets Max value at the beginning of the selected period and cou</t>
  </si>
  <si>
    <t>e date: 2024/07/15   Description: Function to return the hourly value for a tag given two dates and a TagName for        lines using historian server VISUSJANAW0002 for Tabluea Reports    DECLARE @TagValue INT  EXEC @TagValue= dbo.GetTableauHourlyValue_4GT 'L24_PLC4_EM0602_Stray_Indexer.StatsCnt.CurrS.Total_Out',                '2021-02-18 06:00', '2021-02-18 07:00'  SELECT @TagValue  ***************************************************************************************************************/</t>
  </si>
  <si>
    <t>**********************************************/     IF @TagName LIKE '%Statistics.ShiftForecast%'   BEGIN    SELECT @fltHourValue = vah.value    FROM VISUSJANAW0002.Runtime.dbo.v_AnalogHistory vah    WHERE vah.tagname  = @TagName    AND vah.wwRetrievalMode = 'CYCLIC'    AND vah.DateTime = DATEADD(mm,-1,@DateTimeTo)      RETURN @fltHourValue   END  /***************************************************************************************************************     Gets Max value at the beginning o</t>
  </si>
  <si>
    <t>DATEPART(mi, @DateTimeFrom) IN ('00')     AND DATEPART(ss, @DateTimeFrom) IN ('00')      BEGIN    SELECT @fltHourValue =MAX(ISNULL(value,0))     FROM VISUSJANAW0002.Runtime.dbo.v_AnalogHistory    WHERE TagName = @TagName    AND DateTime &gt;= DATEADD(mi, 15, @DateTimeFrom)    AND DateTime &lt; @DateTimeTo     AND wwRetrievalMode = 'CYCLIC'   END     ELSE     BEGIN    SELECT @fltHourValue = SUM(ISNULL(value,0))    FROM VISUSJANAW0002.Runtime.dbo.v_AnalogHistory    WHERE TagName  = @TagName    AND DateT</t>
  </si>
  <si>
    <t>*****   Author:   Thure Hoeckelberg   Create date: 2024/07/15   Description: Changed to retrieve hourly data for all 2GT from server replicate server VISUSJANAW0002       SELECT * FROM getTagHourValue_2GT ('L01_iGoodCt_PLCDM',              '2024-07-15 07:00', '2024-07-15 08:00')      **********************************************************************************************************************/  CREATE FUNCTION [dbo].[getTagHourValue_2GT]   (@pTagName AS VARCHAR(150),    @pStartDateTime A</t>
  </si>
  <si>
    <t xml:space="preserve"> DATEPART(mi, @pStartDateTime) IN ('00')     AND DATEPART(ss, @pStartDateTime) IN ('00')      BEGIN    SELECT @LensNmb =MAX(ISNULL(value,0))     FROM VISUSJANAW0002.Runtime.dbo.v_AnalogHistory    WHERE TagName = @pTagName    AND DateTime &gt;= CAST(DATEADD(mi, 5, @pStartDateTime) AS VARCHAR)     AND DateTime &lt; CAST(@pEndDateTime AS VARCHAR)     AND wwRetrievalMode = 'CYCLIC'   END     ELSE     BEGIN    SELECT @LensNmb = SUM(ISNULL(value,0))    FROM VISUSJANAW0002.Runtime.dbo.v_AnalogHistory    WHER</t>
  </si>
  <si>
    <t>teTime &lt; CAST(@pEndDateTime AS VARCHAR)     AND wwRetrievalMode = 'CYCLIC'   END     ELSE     BEGIN    SELECT @LensNmb = SUM(ISNULL(value,0))    FROM VISUSJANAW0002.Runtime.dbo.v_AnalogHistory    WHERE TagName  = @pTagName    AND DateTime &gt;= CAST(@pStartDateTime AS VARCHAR)     AND DateTime &lt; CAST(@pEndDateTime AS VARCHAR)     AND wwRetrievalMode = 'COUNTER'   END    /**********************************************************************************************************************   Gets Max</t>
  </si>
  <si>
    <t xml:space="preserve">**************************************************************************************************/    SELECT @EndValue =MAX(ISNULL(value,0))    FROM VISUSJANAW0002.Runtime.dbo.v_AnalogHistory   WHERE TagName = @pTagName   AND DateTime &gt;= CAST(DATEADD(mi, 5, @pStartDateTime) AS VARCHAR)    AND DateTime &lt; CAST(@pEndDateTime AS VARCHAR)    AND wwRetrievalMode = 'CYCLIC'        INSERT INTO @LineLensQty VALUES (ISNULL(@LensNmb,0),ISNULL(@EndValue,0))      RETURN   END  </t>
  </si>
  <si>
    <t xml:space="preserve">*****   Author:   Thure Hoeckelberg   Create date: 2024/07/15   Description: Changed to retrieve hourly data for all 3GT from server replicate server VISUSJANAW0002       SELECT * FROM getTagHourValue_3GT ('L24_PLC4_EM0602_Stray_Indexer.StatsCnt.CurrS.Total_Out',              '2021-02-18 06:00', '2021-02-18 07:00')      **********************************************************************************************************************/  CREATE FUNCTION [dbo].[getTagHourValue_3GT]   (@pTagName </t>
  </si>
  <si>
    <t>*****   Author:   Thure Hoeckelberg   Create date: 2024/07/15   Description: Changed to retrieve hourly data for all 4GT from server replicate server VISUSJANAW0002     SELECT * FROM getTagHourValue_4GT ('L51_Stat_Demold.OUT',              '2021-02-18 06:00', '2021-02-18 07:00')      **********************************************************************************************************************/  CREATE FUNCTION [dbo].[getTagHourValue_4GT]   (@pTagName AS VARCHAR(150),    @pStartDateTime A</t>
  </si>
  <si>
    <t xml:space="preserve"> DATEPART(mi, @pStartDateTime) IN ('00')     AND DATEPART(ss, @pStartDateTime) IN ('00')      BEGIN    SELECT @LensNmb =MAX(ISNULL(value,0))     FROM VISUSJANAW0002.Runtime.dbo.v_AnalogHistory    WHERE TagName = @pTagName    AND DateTime &gt;= CAST(DATEADD(mi, 15, @pStartDateTime) AS VARCHAR)     AND DateTime &lt; CAST(@pEndDateTime AS VARCHAR)     AND wwRetrievalMode = 'CYCLIC'   END     ELSE     BEGIN    SELECT @LensNmb = SUM(ISNULL(value,0))    FROM VISUSJANAW0002.Runtime.dbo.v_AnalogHistory    WHE</t>
  </si>
  <si>
    <t>SqlStatement=         'SELECT sample_date,cav1,cav2,cav3,cav4,cav5,cav6,cav7,cav8, cav9,cav10,cav11,cav12,cav13,cav14,cav15,cav16      FROM OpenQuery(VISUSJANAW0002,      ''SELECT * FROM OPENQUERY(INSQL,''''SELECT CONVERT(VARCHAR(25),DateTime,120) sample_date,' +SUBSTRING(@TagPart,2,1000)+'         FROM Runtime.dbo.WideHistory      WHERE DateTime &gt;="'+CONVERT(VARCHAR(50),@DateTimeFrom,121)+'"      AND DateTime &lt;"'+CONVERT(VARCHAR(50),@DateTimeTo,121)+'"      AND wwRetrievalMode = "Delta"'''')'')</t>
  </si>
  <si>
    <t>rName   -- WHILE @@FETCH_STATUS = 0      -- BEGIN      -- EXEC @TagValue= dbo.TagValue_HourData_2GT @DateTimeFrom, @DateTimeTo,    --      @TagName, 'VISUSJANAW0002'       --  INSERT INTO @heatMap2GTSourceRecords   --  SELECT @passLineID, @TagName, @DateTimeFrom, @DateTimeTo, @TagValue, @Brand ,@SpherePower          --  FETCH NEXT FROM db_cursor INTO @TagName,@ServerName   -- END      -- CLOSE db_cursor      -- DEALLOCATE db_cursor   END      /****************************************************</t>
  </si>
  <si>
    <t xml:space="preserve">es.      Author:   Thure Hoeckelberg   Modified:   2024/07/15   Description: Changed to retrieve hourly data for all 2GT from server replicate server VISUSJANAW0002 from        TagValue_2GT and getTagHourValue_2GT      EXEC HeatMap2GTGridViewDataSource 8,'48HOURSRECORDS'  EXEC HeatMap2GTGridViewDataSource 8,'12HOURSRECORDS'  ******************************************************************************************************************/  CREATE PROCEDURE [dbo].[HeatMap2GTGridViewDataSource]   </t>
  </si>
  <si>
    <t xml:space="preserve">   -- WHILE @@FETCH_STATUS = 0      -- BEGIN          --  EXEC @TagValue= dbo.TagValue_HourData_2GT @DateTimeFrom, @DateTimeTo,    --      @TagName, 'VISUSJANAW0002'   --   --EXEC @TagValue=dbo.TagValue_2GT @DateTimeFrom,@DateTimeTo,@TagName,@ServerName            --   INSERT INTO @heatMap2GTSourceRecords   --   SELECT @passLineID,@TagName,@DateTimeFrom,@DateTimeTo,@TagValue,@Brand,@SpherePower       -- FETCH NEXT FROM Tag_CurrCursor INTO @TagName,@ServerName   -- END      -- CLOSE Tag_CurrCurso</t>
  </si>
  <si>
    <t>es.      Author:   Thure Hoeckelberg   Modified:   2024/07/15   Description: Changed to retrieve hourly data for all 2GT from server replicate server VISUSJANAW0002 from        TagValue_2GT and getTagHourValue_2GT      EXEC HeatMap2GTGridViewDataSource 3,'12HOURSRECORDS'  ******************************************************************************************************************/  CREATE PROCEDURE [dbo].[HeatMap2GTGridViewDataSource_Drop]        @pLineID TINYINT,        @pReportType VARCHA</t>
  </si>
  <si>
    <t xml:space="preserve">d  2023/10/24      Description: added to pull lots from new MSP     Author:   Pedro DiazCruz   Created:   202/07/16   Description: Changed Servers to VISUSJANAW0002     SELECT *   FROM heatMap2GTLast48HoursALI_HS_Z21   ORDER BY DateTimeTo DESC    EXEC HeatMap2GTLast48HoursALI_HS_Z21Loader  *****************************************************************************************************************************/  CREATE PROCEDURE [dbo].[HeatMap2GTLast48HoursALI_HS_Z21Loader]  AS  BEGIN        </t>
  </si>
  <si>
    <t>RT INTO heatMap2GTLast48HoursALI_HS_Z21          SELECT TOP(1) @pLineID,'HSYield',@pDateTimeFrom,@pDateTimeTo, ISNULL(ROUND(Value,1),0)          FROM VISUSJANAW0002.Runtime.dbo.v_AnalogHistory          WHERE TagName=@pTagName          AND wwRetrievalMode = 'DELTA'          AND DateTime &gt;= DATEADD(mi,-1,@pDateTimeTo) -- we subtract 1 minutes(-5 yield stops changing)           AND DateTime &lt;= DATEADD(mi,-1,@pDateTimeTo)--we subtract 5 minutes(1 yield stops changing)           ORDER BY DateTime DES</t>
  </si>
  <si>
    <t>4   Description: Changed to pull Data from new historian server     Author:   Pedro DiazCruz   Created:   202/07/16   Description: Changed Servers to VISUSJANAW0002     EXEC HeatMap2GTReport '2024-07-10', '2024-07-19'  *****************************************************************************************/  CREATE PROCEDURE [dbo].[HeatMap2GTReport]          @DateTimeStart DATETIME      , @DateTimeEnd   DATETIME  AS  BEGIN    SET  NOCOUNT ON  ;  -- IF OBJECT_ID('tempdb..#TempRecords') IS NOT NU</t>
  </si>
  <si>
    <t>H_STATUS = 0       BEGIN             SET @error_location='3'       EXEC @TagNumeratorValue=dbo.TagValue_2GT @DateTimeFrom,@DateTimeTo,@TagNumerator, 'VISUSJANAW0002'              SET @error_location='4'       IF @TagDenominator IS NOT NULL        EXEC @TagDenominatorValue=dbo.TagValue_2GT @DateTimeFrom,@DateTimeTo,@TagDenominator,'VISUSJANAW0002'      ELSE SET @TagDenominatorValue = 1        ;                           --EXEC dbo.HeatMapSpherePowerBrand @pLineID=@LineID, @pSpherePower = @SphereP</t>
  </si>
  <si>
    <t>@error_location='4'       IF @TagDenominator IS NOT NULL        EXEC @TagDenominatorValue=dbo.TagValue_2GT @DateTimeFrom,@DateTimeTo,@TagDenominator,'VISUSJANAW0002'      ELSE SET @TagDenominatorValue = 1        ;                           --EXEC dbo.HeatMapSpherePowerBrand @pLineID=@LineID, @pSpherePower = @SpherePower OUTPUT, @pBrand=@Brand OUTPUT             --;           ;   SET @error_location='5'     --  BEGIN TRANSACTION;            INSERT INTO heatMap2GTReport_JavierAPonte      SELECT  @</t>
  </si>
  <si>
    <t>onInd='N' AND LineId = @LineId   ;         -- '''+@HSYield+'''=    SET @SQLStmt=   ' SELECT TOP(1) @retvalOUT=ROUND(a.Value,1)                   FROM VISUSJANAW0002.Runtime.dbo.v_AnalogHistory a           WHERE a.TagName IN ('+SUBSTRING(@TagNameString,3,8000)+''''+')           AND a.wwRetrievalMode = ''Delta''           AND a.value &gt; 0           AND a.DateTime &gt;= DATEADD(mi,-5, '''+ @DateTimeTo+ ''')           AND a.DateTime &lt; DATEADD(mi, 1, '''+ @DateTimeTo+ ''')--we added 1 minutes( yield stop</t>
  </si>
  <si>
    <t xml:space="preserve">/04   Description: Changed to pull Data from new historian servers    Author:   Pedro DiazCruz  Created:   202/07/16  Description: Changed Servers to VISUSJANAW0002     EXEC HeatMap2GTShiftPredictCFPMandOdEE 3  ***********************************************************************************************************************/  CREATE PROCEDURE [dbo].[HeatMap2GTShiftPredictCFPMandOdEE]       @LineID TINYINT  AS  BEGIN    SET NOCOUNT ON        IF @LineID IS NULL OR @LineID=0     RETURN        </t>
  </si>
  <si>
    <t>LineID)         SELECT @CurrentValue =Z18_CurrentShift   FROM SPN2GTData   WHERE SortOrder=@LineID      --SELECT @CurrentValue = MAX(value)    --FROM VISUSJANAW0002.Runtime.dbo.v_AnalogHistory    --WHERE TagName  =  (SELECT TagName    --       FROM maint_LineTag    --       WHERE LineID=@LineID    --       AND ParameterName='PN')   --AND DateTime &gt;= DATEADD(mi, -1, GETDATE())   --AND DateTime &lt; GETDATE()    --AND Quality = 0         SELECT @LastShift =sln.LensPerShift   FROM shift_LensNumber sln</t>
  </si>
  <si>
    <t>plan to accomidate multiple products and taregts for the month      Author:   Pedro DiazCruz   Created:   202/07/16   Description: Changed Servers to VISUSJANAW0002     EXEC HeatMap2GTShiftPredictNumber 1  ***********************************************************************************************************************/  CREATE PROCEDURE [dbo].[HeatMap2GTShiftPredictNumber]       @LineID TINYINT  AS  BEGIN      SET NOCOUNT ON        IF @LineID IS NULL OR @LineID=0        RETURN          DEC</t>
  </si>
  <si>
    <t>ECLARE @BusinessPlan AS INT   DECLARE @PredictedLPS AS INT   DECLARE @IPCLPH AS INT    BEGIN TRY            SELECT @CurrentValue = MAX(value)    FROM VISUSJANAW0002.Runtime.dbo.v_AnalogHistory   WHERE TagName  =  (SELECT mlt.TagName           FROM maint_LineTag mlt          JOIN maint_Line ml ON ml.LineID=mlt.LineID          WHERE mlt.LineID=@LineID           AND mlt.ParameterName='PN'          AND ml.ProductionInd='Y')   AND DATETIME BETWEEN DATEADD(mi, -1, GETDATE()) AND GETDATE()    AND Quali</t>
  </si>
  <si>
    <t xml:space="preserve">  Description: Changed remove all references from IPC to OdEE     Author:   Pedro Diaz-Cruz   Modified:   07/25/2024   Description: Changed Server to VISUSJANAW0002, Commented out DateTimeFrom with (+':00')    EXEC HeatMap3GTGridView12or48HourDataSource 34,'48HOURSRECORDS'  EXEC HeatMap3GTGridView12or48HourDataSource 15,'12HOURSRECORDS'    ****************************************************************************************************************************/  CREATE PROCEDURE [dbo].[HeatMap</t>
  </si>
  <si>
    <t>e   -- WHILE @@FETCH_STATUS = 0      -- BEGIN          -- EXEC @TagValue= dbo.TagValue_HourData_3GT @DateTimeFrom, @DateTimeTo,    --      @TagName, 'VISUSJANAW0002'       -- INSERT INTO @heatMap3GTSourceRecords  --    SELECT @LineID, @TagName, @DateTimeFrom, @DateTimeTo, @TagValue, @Brand, @LensPower     -- FETCH NEXT FROM db_cursor INTO @TagName,@ServerName    --END       --CLOSE db_cursor       --DEALLOCATE db_cursor   END       /***************************************************************</t>
  </si>
  <si>
    <t xml:space="preserve">  Description: Changed remove all references from IPC to OdEE     Author:   Pedro Diaz-Cruz   Modified:   07/25/2024   Description: Changed Server to VISUSJANAW0002, Commented out DateTimeFrom with (+':00')    EXEC HeatMap3GTGridView12or48HourDataSource_Drop 34,'48HOURSRECORDS'  EXEC HeatMap3GTGridView12or48HourDataSource_Drop 15,'12HOURSRECORDS'    ****************************************************************************************************************************/  CREATE PROCEDURE [dbo</t>
  </si>
  <si>
    <t xml:space="preserve">, @ServerName    WHILE @@FETCH_STATUS = 0       BEGIN       EXEC @TagValue= dbo.TagValue_HourData_3GT @DateTimeFrom, @DateTimeTo,          @TagName, 'VISUSJANAW0002'   --EXEC @TagValue=dbo.TagValue @DateTimeFrom,@DateTimeTo,@TagName,@ServerName           INSERT INTO @heatMap3GTSourceRecords     SELECT @LineID, @TagName, @DateTimeFrom, @DateTimeTo, @TagValue, @Brand, @LensPower      FETCH NEXT FROM db_cursor INTO @TagName,@ServerName    END       CLOSE db_cursor       DEALLOCATE db_cursor   END  </t>
  </si>
  <si>
    <t xml:space="preserve"> is used a a data source for 3GT Heat Map shift predict numbers     Author:   Pedro DiazCruz   Created:   202/07/16   Description: Changed Servers to VISUSJANAW0002       EXEC HeatMap3GTShiftPredictCFPMandOdEE 34  ***********************************************************************************************************************/  CREATE PROCEDURE [dbo].[HeatMap3GTShiftPredictCFPMandOdEE]       @LineID TINYINT  AS  BEGIN    SET NOCOUNT ON        IF @LineID IS NULL OR @LineID=0     RETURN     </t>
  </si>
  <si>
    <t>***************/      --SELECT @InSQLName=InSQLName   --FROM maint_LineTag   --WHERE LineID=@LineID     --SELECT @CurrentValue = MAX(value)    --FROM VISUSJANAW0002.Runtime.dbo.v_AnalogHistory   --WHERE TagName  =  (SELECT TagName    --       FROM maint_LineTag    --       WHERE LineID=@LineID    --       AND ParameterName='PN')   --AND DateTime &gt;= DATEADD(mi, -1, GETDATE())   --AND DateTime &lt; GETDATE()    --AND Quality = 0     SELECT @CurrentValue =Post_OutCurr   FROM SPN3GTData   WHERE SortOrd</t>
  </si>
  <si>
    <t xml:space="preserve">   Description: Changed to pull Data from new historian servers     Author:   Pedro DiazCruz   Created:   202/07/16   Description: Changed Servers to VISUSJANAW0002     EXEC HeatMap4GT_ALiYield_CurrHour 51  *****************************************************************************************************************/        @LineID INT                                              AS                                              BEGIN  SET NOCOUNT ON         DECLARE  @DateTimeFrom  VARCHAR(50) </t>
  </si>
  <si>
    <t>OR LEN(vValue)=0  THEN 'PALID'--Pre ALI Defect        --WHEN vValue='' THEN 'PALID'--Pre ALI Defect        ELSE vValue        END,'Carrier01'    FROM VISUSJANAW0002.Runtime.dbo.History    WHERE TagName IN        (@LineName+'_ALI01_Carrier01.CarrierCnt',@LineName+'_ALI01_Carrier01_Data01.01',        @LineName+'_ALI01_Carrier01_Data01.02',       @LineName+'_ALI01_Carrier01_Data01.03', @LineName+'_ALI01_Carrier01_Data01.04', @LineName+'_ALI01_Carrier01_Data01.05',        @LineName+'_ALI01_Carrier01</t>
  </si>
  <si>
    <t>e ALI Defect        WHEN vValue IS NULL OR vValue='' OR LEN(vValue)=0  THEN 'PALID'--Pre ALI Defect        ELSE vValue        END,'Carrier02'    FROM VISUSJANAW0002.Runtime.dbo.History    WHERE TagName IN        (@LineName+'_ALI01_Carrier02.CarrierCnt',@LineName+'_ALI01_Carrier02_Data01.01',        @LineName+'_ALI01_carrier02_Data01.02',       @LineName+'_ALI01_carrier02_Data01.03', @LineName+'_ALI01_carrier02_Data01.04', @LineName+'_ALI01_carrier02_Data01.05',        @LineName+'_ALI01_carrier02</t>
  </si>
  <si>
    <t>OR LEN(vValue)=0  THEN 'PALID'--Pre ALI Defect        --WHEN vValue='' THEN 'PALID'--Pre ALI Defect        ELSE vValue        END,'Carrier03'    FROM VISUSJANAW0002.Runtime.dbo.History    WHERE TagName IN        (              @LineName+'_ALI01_carrier03.CarrierCnt',@LineName+'_ALI01_carrier03_Data01.01',        @LineName+'_ALI01_carrier03_Data01.02',       @LineName+'_ALI01_carrier03_Data01.03', @LineName+'_ALI01_carrier03_Data01.04', @LineName+'_ALI01_carrier03_Data01.05',        @LineName+'_A</t>
  </si>
  <si>
    <t>on: Changed to pull Data from new historian servers dynamically     Author:   Pedro DiazCruz   Created:   202/07/16   Description: Changed Servers to VISUSJANAW0002     EXEC HeatMap4GT_TagValue '2019-1-1 05:00:00', '2018-1-1 06:00:00','L56_Stat_Demold.Out', NULL       *******************************************************************************************************/  CREATE PROCEDURE [dbo].[HeatMap4GT_TagValue]       @pStartDateTime VARCHAR(50),       @pEndDateTime   VARCHAR(50),       @pTa</t>
  </si>
  <si>
    <t>tartDateTime) IN ('00')     AND DATEPART(ss, @pStartDateTime) IN ('00')      BEGIN          SET @SqlStmt='SELECT MAX(ISNULL(value,0)) '+        'FROM VISUSJANAW0002.Runtime.dbo.v_AnalogHistory '+          'WHERE TagName  = '''+@pTagName+ ''' '+        'AND DateTime &gt;= DATEADD(mi, 15,'''+@pStartDateTime+''') '+        'AND DateTime &lt;= '''+@pEndDateTime +''' '+        'AND wwRetrievalMode = ''Cyclic''  '               INSERT INTO @Table(ReturnedValue)                  EXEC(@SqlStmt)           SELE</t>
  </si>
  <si>
    <t>ULL(ReturnedValue,0)       FROM @Table           RETURN @TagValue   END     ELSE   BEGIN     SET @SqlStmt='SELECT SUM(ISNULL(value,0)) '+       'FROM VISUSJANAW0002.Runtime.dbo.v_AnalogHistory '+            'WHERE TagName  = '''+@pTagName+ ''' '+          'AND DateTime &gt;= '''+@pStartDateTime +'''  '+          'AND DateTime &lt;= '''+@pEndDateTime +''' '+       'AND wwRetrievalMode = ''COUNTER'' '        INSERT INTO @Table(ReturnedValue)                  EXEC(@SqlStmt)           SELECT @TagValue=ISN</t>
  </si>
  <si>
    <t xml:space="preserve">rom maint_4GTHeatMapCellColor called From webPge: 4GTHeatMap.aspx   Author:   Pedro DiazCruz   Created:   202/07/16   Description: Changed Servers to VISUSJANAW0002        SELECT TagName,ServerName FROM maint_4GTHeatMapTags      EXEC HeatMap4GTGridView12or48HourDataSource 57  *********************************************************************************************************************************/  CREATE PROCEDURE [dbo].[HeatMap4GTGridView12or48HourDataSource]   @pLineID TINYINT     AS  </t>
  </si>
  <si>
    <t xml:space="preserve">  -- WHILE @@FETCH_STATUS = 0      -- BEGIN          -- EXEC @cellValue= dbo.TagValue_HourData_4GT @DateTimeFrom, @DateTimeTo,    --      @CellName, 'VISUSJANAW0002'   ----EXEC @cellValue=dbo.TagValue_4GT @DateTimeFrom, @DateTimeTo, @CellName, @ServerName      --   INSERT INTO @heatMap4GTSourceRecords (LineID, CellName, CalendarDate, DateTimeTo,       --              FromTo, CellValue, Brand, SpherePower     --             )        --  SELECT 2, -- fictional Lineid=2 For sorting purposes only.  </t>
  </si>
  <si>
    <t xml:space="preserve">rom maint_4GTHeatMapCellColor called From webPge: 4GTHeatMap.aspx   Author:   Pedro DiazCruz   Created:   202/07/16   Description: Changed Servers to VISUSJANAW0002        SELECT TagName,ServerName FROM maint_4GTHeatMapTags      EXEC HeatMap4GTGridView12or48HourDataSource 51  *********************************************************************************************************************************/  CREATE PROCEDURE [dbo].[HeatMap4GTGridView12or48HourDataSource]   @pLineID TINYINT     AS  </t>
  </si>
  <si>
    <t xml:space="preserve">ine 102     Author:   Thure Hoeckelberg   Modified:    2024/07/15   Description: Changed to retrieve hourly data for all from server replicate server VISUSJANAW0002      EXEC HeatMap4GTShiftPredictCFPMandOdEE 51  ***********************************************************************************************************************/  CREATE PROCEDURE [dbo].[HeatMap4GTShiftPredictCFPMandOdEE]       @LineID TINYINT  AS  BEGIN      SET NOCOUNT ON        IF @LineID IS NULL OR @LineID=0        RETURN </t>
  </si>
  <si>
    <t xml:space="preserve">=@LineID)        SELECT @CurrentValue = Post_OutCurr    FROM SPN4GTData    WHERE SortOrder=@LineID      --SELECT @CurrentValue = MAX(value)    --FROM VISUSJANAW0002.Runtime.dbo.v_AnalogHistory    --WHERE TagName  =  (SELECT TagName     --       FROM maint_LineTag     --       WHERE LineID=@LineId     --       AND ParameterName='PN')    --AND DateTime BETWEEN DATEADD(mi, -1, GETDATE()) AND GETDATE()     --AND Quality = 0         SELECT @BusinessPlan=mbp.BusinessPlan   FROM maint_BusinessPlan mbp </t>
  </si>
  <si>
    <t>rian.       Author:   Thure Hoeckelberg   Modified:    2024/07/15   Description: Changed to retrieve hourly data for all from server replicate server VISUSJANAW0002      SELECT *    FROM HS_Data_2GT        EXEC HS_Data_2GT_Proc    ********************************************************************************************************/  CREATE PROCEDURE [dbo].[HS_Data_2GT_Proc]    AS  BEGIN  SET NOCOUNT ON     DECLARE @ProductionDate AS SMALLDATETIME   DECLARE @DateTimeFrom AS SMALLDATETIME   DEC</t>
  </si>
  <si>
    <t xml:space="preserve">    SELECT @ProductionDate, @LineID, @DateTimeFrom, DateTime AS CurrDate, @TagName,          @Comments, ISNULL(value,0) AS TagValue              FROM VISUSJANAW0002.Runtime.dbo.History              WHERE TagName = @TagName              AND DateTime &gt; @DateTimeFrom         AND DateTime &lt;= @DateTimeTo     AND wwRetrievalMode = 'DELTA'                                                  END      FETCH NEXT FROM db_2GT_HS_cursor INTO @LineID, @TagName, @Comments         END          CLOSE db_2GT_HS_cur</t>
  </si>
  <si>
    <t>ft ends     Author:   Thure Hoeckelberg   Modified:    2024/07/15   Description: Changed to retrieve hourly data for all from server replicate server VISUSJANAW0002     EXEC IMMPerformanceLoader  *********************************************************************************************************/  CREATE PROCEDURE [dbo].[IMMPerformanceLoader]  AS  BEGIN            SET NOCOUNT ON      IF OBJECT_ID('tempdb..#LineData') IS NOT NULL DROP TABLE #LineData              DECLARE @ProductionDate AS D</t>
  </si>
  <si>
    <t xml:space="preserve">ine,TagDescription,IMMType,TagValue)                             SELECT @LineID,@TagDescription,@IMMType,ISNULL(MAX(Value),0)                    FROM VISUSJANAW0002.Runtime.dbo.History                    WHERE TagName=@TagName                    AND wwRetrievalMode = 'Delta'                    AND DateTime &gt;= DATEADD(mi,-10,@EndDateTime)                      AND DateTime &lt;= DATEADD(mi,10,@EndDateTime)                                        UPDATE @TagList SET ProcessedInd='Y' WHERE ID=@ID       </t>
  </si>
  <si>
    <t>rmance"     Author:   Thure Hoeckelberg   Modified:    2024/07/15   Description: Changed to retrieve hourly data for all from server replicate server VISUSJANAW0002      GRANT EXECUTE ON IMMPerformanceProductionDateTeamDataSource TO [gsuser]      EXEC IMMPerformanceProductionDateTeamDataSource '01/04/2019 C'   *******************************************************************************************************************************/  CREATE PROCEDURE [dbo].[IMMPerformanceProductionDateTeamDa</t>
  </si>
  <si>
    <t>ine,TagDescription,IMMType,TagValue)                             SELECT @LineID,@TagDescription,@IMMType,ISNULL(MAX(Value),0)                    FROM VISUSJANAW0002.Runtime.dbo.History                    WHERE TagName=@TagName                    AND wwRetrievalMode = 'Delta'                    AND wwVersion = 'Latest'                    AND DateTime &gt;= DATEADD(mi,-10,@EndDateTime)                      AND DateTime &lt;= DATEADD(mi,10,@EndDateTime)                                        UPDATE @TagL</t>
  </si>
  <si>
    <t xml:space="preserve"> IN KPI     Author:   Thure Hoeckelberg   Modified:    2024/07/15   Description: Changed to retrieve hourly data for all from server replicate server VISUSJANAW0002     EXEC IMMPerformanceReport '04/10/2013','D'  ***********************************************************************************************************/  CREATE PROCEDURE [dbo].[IMMPerformanceReport]        --@ProductionDate VARCHAR(10),        --@TeamID VARCHAR(3)        AS  BEGIN            SET NOCOUNT ON                 DECLAR</t>
  </si>
  <si>
    <t>ine,TagDescription,IMMType,TagValue)                             SELECT @LineID,@TagDescription,@IMMType,ISNULL(MAX(Value),0)                    FROM VISUSJANAW0002.Runtime.dbo.History                    WHERE TagName=@TagName                    AND wwRetrievalMode = 'Delta'                    AND DateTime &gt;= @StartDateTime                    AND DateTime &lt;= @EndDateTime                                        UPDATE @TagList SET ProcessedInd='Y' WHERE ID=@ID           END         /**************</t>
  </si>
  <si>
    <t>r iPad)     Author:   Thure Hoeckelberg   Modified:    2024/07/15   Description: Changed to retrieve hourly data for all from server replicate server VISUSJANAW0002     EXEC ip2GTCellPerformance12HoursDataSource 'Line02'  ****************************************************************************************************************************/  CREATE PROCEDURE [dbo].[ip2GTCellPerformance12HoursDataSource]        @LineName VARCHAR(50)   AS  BEGIN   SET NOCOUNT ON;        CREATE TABLE  #HoursAr</t>
  </si>
  <si>
    <t xml:space="preserve">        SET @StartTime= DATEADD(ss,-10,@To)             SET @EndTime  = @To          END                SELECT @ReturnedValue=MAX(h.Value)       FROM VISUSJANAW0002.Runtime.dbo.History h      WHERE h.DateTime BETWEEN @StartTime AND @EndTime      AND h. TagName=@TagName      AND h.wwRetrievalMode = 'Delta'      --AND h.QualityDetail = 192                   AND h.Quality = 0                        SET @SqlStmt='UPDATE #HoursArray SET '+@Cell+'='+CAST(@ReturnedValue AS VARCHAR(10))+'  WHERE ID='+CA</t>
  </si>
  <si>
    <t xml:space="preserve"> used.      Author:   Thure Hoeckelberg   Modified:    2024/07/15   Description: Changed to retrieve hourly data for all from server replicate server VISUSJANAW0002     EXEC ip3GTZonePerformance12HoursDataSource '3GT TAM15'    ****************************************************************************************************************************/  CREATE PROCEDURE [dbo].[ip3GTZonePerformance12HoursDataSource]      @LineName VARCHAR(50)   AS  BEGIN   CREATE TABLE  #ReportDataSource      (ID S</t>
  </si>
  <si>
    <t>'INSERT INTO #RecordSet (SampleDateTime,TagName,TagValue)       SELECT '''+CONVERT(VARCHAR(50),@DateTimeTo,121)+''',h.TagName,MAX(h.Value)       FROM VISUSJANAW0002.Runtime.dbo.History h       LEFT JOIN VISUSJANAW0002.Runtime.dbo.QualityMap qm        ON qm.QualityDetail = h.QualityDetail       WHERE h.TagName IN ('+SUBSTRING(@TagNameStringTemp,2,8000)+')       AND h.wwRetrievalMode = ''Delta''       AND h.DateTime &gt;= '''+CONVERT(VARCHAR(50),DATEADD(mi,-5,@DateTimeTo),121)+'''       AND h.DateTim</t>
  </si>
  <si>
    <t xml:space="preserve">lue)       SELECT '''+CONVERT(VARCHAR(50),@DateTimeTo,121)+''',h.TagName,MAX(h.Value)       FROM VISUSJANAW0002.Runtime.dbo.History h       LEFT JOIN VISUSJANAW0002.Runtime.dbo.QualityMap qm        ON qm.QualityDetail = h.QualityDetail       WHERE h.TagName IN ('+SUBSTRING(@TagNameStringTemp,2,8000)+')       AND h.wwRetrievalMode = ''Delta''       AND h.DateTime &gt;= '''+CONVERT(VARCHAR(50),DATEADD(mi,-5,@DateTimeTo),121)+'''       AND h.DateTime &lt;= '''+ CONVERT(VARCHAR(50),@DateTimeTo,121)+'''   </t>
  </si>
  <si>
    <t xml:space="preserve">GTSER4H     Author:   Thure Hoeckelberg   Modified:    2024/07/15   Description: Changed to retrieve hourly data for all from server replicate server VISUSJANAW0002    EXEC Last24HourLensProduction 59,15  *************************************************************************************************************/  CREATE PROCEDURE [dbo].[Last24HourLensProduction]        @LineID SMALLINT,       @DisplayRangePosition SMALLINT--it can be 0,4,8,12,16,20 and 24 hours back with DisplayRange=6 hours  </t>
  </si>
  <si>
    <t>T(VARCHAR(10),h.DateTime,101)+' '+               CONVERT(VARCHAR(5),h.DateTime,108) SampleDateTime,               MAX(ISNULL(h.Value,0)) LPS     FROM VISUSJANAW0002.Runtime.dbo.History h     WHERE h.TagName =@TagName      AND h.DateTime &lt;= @DateTimeTo     AND h.wwRetrievalMode = 'Delta'     GROUP BY CONVERT(VARCHAR(10),h.DateTime,101)+' '+CONVERT(VARCHAR(5),h.DateTime,108)            SELECT * INTO #temp_left       FROM       (         SELECT TOP(240)                CONVERT(VARCHAR(10),DATEADD(mi</t>
  </si>
  <si>
    <t>d update to Tableau4GTData table to keep shift predict in sync     Author:   Pedro DiazCruz   Created:   2024/07/16   Description: Changed Servers to VISUSJANAW0002, replaced getCurrentValue to point specific GT       SELECT * FROM SPN4GTData     EXEC Load4GTSPNDataToTable  *******************************************************************************************************************/  CREATE PROCEDURE [dbo].[Load4GTSPNDataToTable]     AS  BEGIN  /********************************************</t>
  </si>
  <si>
    <t xml:space="preserve">future.     Author:   Thure Hoeckelberg   Modified:    2024/07/15   Description: Changed to retrieve hourly data for all from server replicate server VISUSJANAW0002    EXEC LotALIData 7,122  EXEC LotALIData 2,122  EXEC LotALIData 52,122  EXEC LotALIData 15,122  *************************************************************************************************/  CREATE PROCEDURE [dbo].[LotALIData]         @LineID AS TINYINT,         @YearMonthRecordID AS INT   AS  BEGIN         SET NOCOUNT ON      </t>
  </si>
  <si>
    <t xml:space="preserve">ECT         lineid, sample_date, cav1,cav2,cav3,cav4,cav5,cav6,cav7,cav8,        cav9,cav10,cav11,cav12,cav13,cav14,cav15,cav16        FROM OpenQuery(VISUSJANAW0002,        ''SELECT * FROM OpenQuery(INSQL,         ''''SELECT '+CONVERT(varchar(3), @LineID)+' lineid,           CONVERT(VARCHAR(25),DateTime,120) sample_date, '+@TagNameString+'         FROM Runtime.dbo.WideHistory        WHERE wwVersion = "Latest"        AND DateTime &gt;="'+@LotStartDate+'"        AND DateTime &lt;"'+@LotEndDate+'"       </t>
  </si>
  <si>
    <t>ALIData     Author:   Thure Hoeckelberg   Modified:    2024/07/15   Description: Changed to retrieve hourly data for all from server replicate server VISUSJANAW0002    EXEC LotALIDataLoader  ******************************************************************************************************/  CREATE PROCEDURE [dbo].[LotALIDataLoader]  AS  BEGIN         SET NOCOUNT ON           IF OBJECT_ID('tempdb..#LotStartEnd') IS NOT NULL DROP TABLE #LotStartEnd  IF OBJECT_ID('tempdb..#TagNameALICode') IS N</t>
  </si>
  <si>
    <t>onDate, @TeamID, @LineID,         LEFT(CONVERT(VARCHAR, DateTime, 21),16) AS SampleDateTime,         @CellZone, ISNULL(Value,0) AS LPM_Qty       FROM VISUSJANAW0002.Runtime.dbo.History       WHERE TagName =@TagName       AND wwRetrievalMode = 'Cyclic'       AND wwResolution = 60000 --Every Minute       AND wwVersion = 'Latest'       AND DateTime &gt; @ShiftStart       AND DateTime &lt;= @ShiftEnd       ORDER BY DateTime     FETCH NEXT FROM db_LPM_cursor INTO @LineID, @TagName, @CellZone   END    CLOSE</t>
  </si>
  <si>
    <t>o 600       Author:   Thure Hoeckelberg   Modified:    2024/07/15   Description: Changed to retrieve hourly data for all from server replicate server VISUSJANAW0002    EXEC LPMDataSource '03/27/2025A',1,'Loader'  ******************************************************************************************************/  CREATE PROCEDURE [dbo].[LPMDataSource]       @ProductionDateTeam VARCHAR(50),       @LineID SMALLINT,       @CellZone VARCHAR(25)--we need it to determine tag name   AS  BEGIN    SET</t>
  </si>
  <si>
    <t>INSERT INTO @DataTable (SampleDateTime,OutputQty,Quality)   SELECT LEFT(CONVERT(VARCHAR, DateTime, 21),16) AS DateTime,        Value, Quality    FROM VISUSJANAW0002.Runtime.dbo.History    WHERE TagName =@TagName    AND wwRetrievalMode = 'Cyclic'    AND wwResolution = 60000 --Every Minute    AND wwVersion = 'Latest'    AND DateTime &gt; @DateFrom    AND DateTime &lt;= @DateTo       ORDER BY DateTime     /****************************************************************************    summary of data  **</t>
  </si>
  <si>
    <t>CHAR(100)   Author:   Thure Hoeckelberg   Modified:    2024/07/15   Description: Changed to retrieve hourly data for all from server replicate server VISUSJANAW0002    EXEC LPMDateRangeDataSource '03/25/2025', '03/26/2025', 1, 'Loader'    EXEC LPMDateRangeDataSource  '10/01/2016','10/14/2016',1,'BCIMM'            ***********************************************************************************************************/  CREATE PROCEDURE [dbo].[LPMDateRangeDataSource]       @DateFrom VARCHAR(50)</t>
  </si>
  <si>
    <t xml:space="preserve">ATUS = 0       BEGIN         INSERT INTO @DataTable (SampleDateTime,OutputQty)        SELECT LEFT(CONVERT(VARCHAR, DateTime, 21),16),Value       FROM VISUSJANAW0002.Runtime.dbo.History       WHERE TagName =@TagName       AND wwRetrievalMode = 'Cyclic'       AND wwResolution = 60000 --Every Minute       AND wwVersion = 'Latest'       AND DateTime &gt; @ShiftStart       AND DateTime &lt;= @ShiftEnd       ORDER BY DateTime           FETCH NEXT FROM db_cursor INTO @ShiftStart,@ShiftEnd    END       CLOSE </t>
  </si>
  <si>
    <t>@ProductionDate, @TeamID, @LineID, @CellZone,        LEFT(CONVERT(VARCHAR, DateTime, 21),16) AS SampleDateTime,         Value AS OutputQty       FROM VISUSJANAW0002.Runtime.dbo.History       WHERE TagName =@TagName       AND wwRetrievalMode = 'Cyclic'       AND wwResolution = 60000 --Every Minute       AND wwVersion = 'Latest'       AND DateTime &gt; @ShiftStart       AND DateTime &lt;= @ShiftEnd       ORDER BY DateTime     FETCH NEXT FROM db_LPM_cursor INTO @LineID, @TagName, @CellZone   END    CLOSE</t>
  </si>
  <si>
    <t>PPS34VM     Author:   Thure Hoeckelberg   Modified:    2024/07/15   Description: Changed to retrieve hourly data for all from server replicate server VISUSJANAW0002    EXEC MoldALIDataLoader  *********************************************************************************************************/  CREATE PROCEDURE [dbo].[MoldALIDataLoader]   AS  BEGIN       SET NOCOUNT ON;                   DECLARE @MasterLotParameters AS TABLE           (LineID SMALLINT,MasterLot VARCHAR(50),           LotStar</t>
  </si>
  <si>
    <t xml:space="preserve"> SELECT         sample_date, cav1,cav2,cav3,cav4,cav5,cav6,cav7,cav8,            cav9,cav10,cav11,cav12,cav13,cav14,cav15,cav16        FROM OpenQuery(VISUSJANAW0002,        ''SELECT * FROM          OpenQuery(INSQL,         ''''SELECT CONVERT(VARCHAR(25),DateTime,120) sample_date '+@TagPart+'         FROM Runtime.dbo.WideHistory        WHERE wwVersion = "Latest"        AND DateTime &gt;="'+CONVERT(VARCHAR(50),@LotStartDateTime,120)+'"        AND DateTime &lt;"'+CONVERT(VARCHAR(50),@LotCompleteDateTime,</t>
  </si>
  <si>
    <t>months.     Author:   Thure Hoeckelberg   Modified:    2024/07/15   Description: Changed to retrieve hourly data for all from server replicate server VISUSJANAW0002     EXEC OEE_4GT  ***********************************************************************************************/    CREATE PROCEDURE [dbo].[OEE_4GT]   AS  BEGIN    -- Monthly Job runs on the 1st day of the month.    -- For the current month It calculates live per Request.    DECLARE @DateFrom VARCHAR(50); SET @DATEFrom =  CAST(DATE</t>
  </si>
  <si>
    <t>AL(4,2) OUTPUT';      DECLARE @L52_FA_G05_Z04_DoseHead_Total DECIMAL(4,2);     SET @SqlStmt='SELECT  @retvalOUT= AVG(h.value)          FROM           VISUSJANAW0002.Runtime.dbo.v_History h            INNER JOIN           VISUSJANAW0002.Runtime.dbo.QualityMap qm                ON h.QualityDetail = qm.QualityDetail         WHERE TagName = ''L52_FA_G05_Z04_DoseHead.Total''                      AND h.DateTime BETWEEN '''+@DATEFROM +         ''' AND '''+@DateTo +'''           AND wwRetrievalMode = ''</t>
  </si>
  <si>
    <t>2);     SET @SqlStmt='SELECT  @retvalOUT= AVG(h.value)          FROM           VISUSJANAW0002.Runtime.dbo.v_History h            INNER JOIN           VISUSJANAW0002.Runtime.dbo.QualityMap qm                ON h.QualityDetail = qm.QualityDetail         WHERE TagName = ''L52_FA_G05_Z04_DoseHead.Total''                      AND h.DateTime BETWEEN '''+@DATEFROM +         ''' AND '''+@DateTo +'''           AND wwRetrievalMode = ''Cyclic''       AND wwVersion = ''Latest''                           AND</t>
  </si>
  <si>
    <t>A_G05_Z04_DoseHead_Total     DECLARE @L52_HY_G04_ExtHyd3_Total DECIMAL(4,2)    SET @SqlStmt='SELECT  @retvalOUT= AVG(h.value)          FROM           VISUSJANAW0002.Runtime.dbo.v_History h            INNER JOIN           VISUSJANAW0002.Runtime.dbo.QualityMap qm                ON h.QualityDetail = qm.QualityDetail         WHERE TagName = ''L52_HY_G04_ExtHyd3.Total''                      AND h.DateTime BETWEEN '''+@DATEFROM +         ''' AND '''+@DateTo +'''           AND wwRetrievalMode = ''Cycli</t>
  </si>
  <si>
    <t>4,2)    SET @SqlStmt='SELECT  @retvalOUT= AVG(h.value)          FROM           VISUSJANAW0002.Runtime.dbo.v_History h            INNER JOIN           VISUSJANAW0002.Runtime.dbo.QualityMap qm                ON h.QualityDetail = qm.QualityDetail         WHERE TagName = ''L52_HY_G04_ExtHyd3.Total''                      AND h.DateTime BETWEEN '''+@DATEFROM +         ''' AND '''+@DateTo +'''           AND wwRetrievalMode = ''Cyclic''       AND wwVersion = ''Latest''                           AND h.va</t>
  </si>
  <si>
    <t>l L52_HY_G04_ExtHyd3_Total    DECLARE @L52_SL_G04_Loader_Total DECIMAL(4,2)    SET @SqlStmt='SELECT  @retvalOUT= AVG(h.value)          FROM           VISUSJANAW0002.Runtime.dbo.v_History h            INNER JOIN           VISUSJANAW0002.Runtime.dbo.QualityMap qm                ON h.QualityDetail = qm.QualityDetail         WHERE TagName = ''L52_SL_G04_Loader.Total''                      AND h.DateTime BETWEEN '''+@DATEFROM +         ''' AND '''+@DateTo +'''           AND wwRetrievalMode = ''Cyclic</t>
  </si>
  <si>
    <t>4,2)    SET @SqlStmt='SELECT  @retvalOUT= AVG(h.value)          FROM           VISUSJANAW0002.Runtime.dbo.v_History h            INNER JOIN           VISUSJANAW0002.Runtime.dbo.QualityMap qm                ON h.QualityDetail = qm.QualityDetail         WHERE TagName = ''L52_SL_G04_Loader.Total''                      AND h.DateTime BETWEEN '''+@DATEFROM +         ''' AND '''+@DateTo +'''           AND wwRetrievalMode = ''Cyclic''       AND wwVersion = ''Latest''                           AND h.val</t>
  </si>
  <si>
    <t>et time     Author:   Thure Hoeckelberg   Modified:    2024/07/15   Description: Changed to retrieve hourly data for all from server replicate server VISUSJANAW0002           EXEC PLCClockResetTime 6  ********************************************************************************************************/  CREATE PROCEDURE [dbo].[PLCClockResetTime]       @LineID SMALLINT  AS  BEGIN  SET NOCOUNT ON --See below for a reason         --When a ADO recordset based on a #Temp table created within a sto</t>
  </si>
  <si>
    <t>d='NO')         INSERT INTO #PLCClockReset        (LineID,TagName,SampleDateTime,SampleValue)       SELECT @LineID,@TagName,DateTime,Value       FROM VISUSJANAW0002.Runtime.dbo.History h    WHERE h.DateTime BETWEEN @TimeFrom AND @TimeTo    AND h. TagName =@TagName       AND wwRetrievalMode = 'Cyclic'       AND wwResolution = 60000       AND wwVersion = 'Latest'        UPDATE #temp SET ProcessInd='YES' WHERE ID=@ID  END      DECLARE @ColumnString AS VARCHAR(1000)    DECLARE @PivotSqlStmt AS VARCH</t>
  </si>
  <si>
    <t>tTrend.     Author:   Thure Hoeckelberg   Modified:    2024/07/15   Description: Changed to retrieve hourly data for all from server replicate server VISUSJANAW0002    EXEC PLCClockResetTimeTracking   ***************************************************************************************************************/  CREATE PROCEDURE [dbo].[PLCClockResetTimeTracking]  AS  BEGIN      SET NOCOUNT ON     DECLARE @ID AS SMALLINT   DECLARE @CellCode AS VARCHAR(50)   DECLARE @TagName AS VARCHAR(150)   DEC</t>
  </si>
  <si>
    <t>ID=(SELECT MIN(ID)        FROM #temp        WHERE ProcessInd='NO')    --Print @TagName   SELECT @DateTimeOfMaxValue=ISNULL(MAX(h.DateTime),'')   FROM VISUSJANAW0002.Runtime.dbo.History h   WHERE h.DateTime BETWEEN @DateTimeFrom AND @DateTimeTo   AND h.TagName = @TagName   AND h.wwRetrievalMode = 'Cyclic'   AND h.wwVersion = 'Latest'   AND h.Value=(SELECT ISNULL(MAX(Value),0) FROM WVISUS2GTSER4H.Runtime.dbo.History          WHERE DateTime BETWEEN @DateTimeFrom AND @DateTimeTo          AND TagName</t>
  </si>
  <si>
    <t>me          Author:   Thure Hoeckelberg   Modified:    2024/07/15   Description: Changed to retrieve hourly data for all from server replicate server VISUSJANAW0002    EXEC PLCClockResetTimeZ18Loader  ********************************************************************************************************************/  CREATE PROCEDURE [dbo].[PLCClockResetTimeZ18Loader]  AS  BEGIN          SET NOCOUNT ON --See below for a reason    DECLARE @ShiftEnd DATETIME     SELECT @ShiftEnd=      CASE      W</t>
  </si>
  <si>
    <t>10),TagName VARCHAR(50), SampleDateTime DATETIME,Value INT)      INSERT INTO @LineTagValue    SELECT ml.LineName,h.TagName,h.DateTime,h.Value    FROM VISUSJANAW0002.Runtime.dbo.History h    INNER JOIN  maint_LineTag mlt ON h.TagName=mlt.TagName    INNER JOIN maint_Line ml ON mlt.LineID=ml.LineID    WHERE (h.TagName LIKE 'iGoodCt_PLC%'     OR h.TagName LIKE '%P3_LOAD_OUT_CNT'     OR h.TagName LIKE '%Stat_Loader.OUT')    AND h.wwRetrievalMode = 'Cyclic'    AND h.wwVersion = 'Latest'    AND h.wwCyc</t>
  </si>
  <si>
    <t xml:space="preserve">        Author:   Thure Hoeckelberg   Modified:    2024/07/15   Description: Changed to retrieve hourly data for all 3GT from server replicate server VISUSJANAW0002        SELECT *    FROM Servo_Data      EXEC ServoData_Loader    *******************************************************************************************************/  CREATE PROCEDURE [dbo].[ServoData_Loader]    AS  BEGIN    DECLARE @ProductionDate AS SMALLDATETIME  DECLARE @TeamID AS VARCHAR(5)  DECLARE @DateTimeFrom AS SMALLDAT</t>
  </si>
  <si>
    <t>oductionDate, @TeamID, @LineID, @DateTimeFrom, DateTime AS CurrDate, @TagName,            @TagCategory, @ZoneID, ISNULL(value,0) AS TagValue     FROM VISUSJANAW0002.Runtime.dbo.v_AnalogHistory     WHERE TagName = @TagName     AND DateTime &lt;= DATEADD(mi, 5, @DateTimeFrom)     AND DateTime &gt; @DateTimeFrom      AND wwRetrievalMode = 'DELTA'              FETCH NEXT FROM db_Servo_cursor INTO @LineID, @TagName, @TagCategory, @ZoneID, @InSQLName         END          CLOSE db_Servo_cursor           DEAL</t>
  </si>
  <si>
    <t>nth     Author:   Thure Hoeckelberg   Modified:    2024/07/15   Description: Changed to retrieve hourly data for all 3GT from server replicate server VISUSJANAW0002    EXEC ShiftBrief2GTTableLoader  ***************************************************************************************************************/  CREATE PROCEDURE [dbo].[ShiftBrief2GTTableLoader]  AS   BEGIN           SET NOCOUNT ON              DECLARE @ShiftStart AS DATETIME       DECLARE @TeamID AS VARCHAR(3)       DECLARE @Prod</t>
  </si>
  <si>
    <t xml:space="preserve">eDateTime, Cav1, Cav2, Cav3, Cav4, Cav5, Cav6, Cav7,              Cav8, Cav9, Cav10, Cav11, Cav12, Cav13, Cav14, Cav15, Cav16          FROM OpenQuery(VISUSJANAW0002,              ''SELECT * FROM  OpenQuery(INSQL,                     ''''SELECT CONVERT(nvarchar, DateTime, 113) SampleDateTime '+@TagPart+'                      FROM Runtime.dbo.WideHistory                     WHERE wwVersion = "Latest"                     AND DateTime &gt;="'+CONVERT(varchar(50),@ShiftStart)+'"                     AND </t>
  </si>
  <si>
    <t xml:space="preserve">GT.TeamID=@TeamID,                shift_Brief2GT.TransactionDateTime=GETDATE()            FROM     (SELECT mlt.LineID, MAX(h.Value) LensQty      FROM VISUSJANAW0002.Runtime.dbo.History h,            maint_LineTag mlt      WHERE h.TagName LIKE 'iGoodCt_PLC'+'%'       AND h.wwRetrievalMode = 'Delta'      AND h.wwVersion = 'Latest'      AND h.DateTime &gt;= DATEADD(ss, -1, GETDATE())      AND h.tagname=mlt.tagname      AND mlt.ParameterName='PN'      AND mlt.deptid='2GT'      GROUP BY mlt.lineid      </t>
  </si>
  <si>
    <t>ble     Author:   Thure Hoeckelberg   Modified:    2024/07/15   Description: Changed to retrieve hourly data for all 2GT from server replicate server VISUSJANAW0002     EXEC Tableau2GTDataLoader  **************************************************************************************************************************/    CREATE PROCEDURE [dbo].[Tableau2GTDataLoader]                                                 AS                                              BEGIN   SET NOCOUNT ON        IF OB</t>
  </si>
  <si>
    <t xml:space="preserve">de data from new historian server VISUSFMPWWHIS01 for FMP01        Author:   Pedro DiazCruz   Created:   2022/03/09   Description: Changed Servers to VISUSJANAW0002, replaced @Tagname to point to getTagHourValue_3GT     SELECT *   FROM Tableau3GTData   ORDER BY DateTimeFrom DESC     EXEC Tableau3GTDataLoader  **************************************************************************************************************************/    CREATE PROCEDURE [dbo].[Tableau3GTDataLoader]                 </t>
  </si>
  <si>
    <t xml:space="preserve">de data from new historian server VISUSFMPWWHIS01 for FMP01        Author:   Pedro DiazCruz   Created:   2022/03/09   Description: Changed Servers to VISUSJANAW0002, replaced @Tagname to point to getTagHourValue_3GT     SELECT *   FROM Tableau3GTData   ORDER BY DateTimeFrom DESC     EXEC Tableau3GTDataLoader_Drop  **************************************************************************************************************************/    CREATE PROCEDURE [dbo].[Tableau3GTDataLoader_Drop]       </t>
  </si>
  <si>
    <t>ble     Author:   Thure Hoeckelberg   Modified:    2024/07/15   Description: Changed to retrieve hourly data for all 4GT from server replicate server VISUSJANAW0002     EXEC Tableau4GTDataLoader  **************************************************************************************************************************/    CREATE PROCEDURE [dbo].[Tableau4GTDataLoader]                                                 AS                                              BEGIN   SET NOCOUNT ON        IF OB</t>
  </si>
  <si>
    <t>MapReportConfiguration      DECLARE @TagValue INT  EXEC @TagValue= dbo.TagValue '2025-04-18 07:00',  '2025-04-18 08:00',           'AP1_GOODCOUNT2', 'VISUSJANAW0002'  SELECT @TagValue  ****************************************************************************************************/  CREATE PROCEDURE [dbo].[TagValue]      @pStartDateTime VARCHAR(50),      @pEndDateTime VARCHAR(50),      @pTagName VARCHAR(250),      @pInSQLName VARCHAR(50)  AS  BEGIN   DECLARE @TagValue AS FLOAT     /*********</t>
  </si>
  <si>
    <t>@pStartDateTime) IN ('00')     AND DATEPART(ss, @pStartDateTime) IN ('00')        BEGIN               SELECT @TagValue= MAX(ISNULL(value,0))     FROM VISUSJANAW0002.Runtime.dbo.v_AnalogHistory    WHERE TagName = @pTagName    AND DateTime &gt;= DATEADD(mi, 5, @pStartDateTime)    AND DateTime &lt; @pEndDateTime     AND wwRetrievalMode = 'CYCLIC'                           RETURN @TagValue     END       ELSE      BEGIN      SELECT @TagValue = SUM(ISNULL(value,0))    FROM VISUSJANAW0002.Runtime.dbo.v_Analo</t>
  </si>
  <si>
    <t>etrievalMode = 'CYCLIC'                           RETURN @TagValue     END       ELSE      BEGIN      SELECT @TagValue = SUM(ISNULL(value,0))    FROM VISUSJANAW0002.Runtime.dbo.v_AnalogHistory    WHERE TagName  = @pTagName    AND DateTime &gt;= @pStartDateTime    AND DateTime &lt; @pEndDateTime    AND wwRetrievalMode = 'COUNTER'      RETURN @TagValue     END    END</t>
  </si>
  <si>
    <t>for 2GT    Author:   Thure Hoeckelberg  Modified:   2024/07/15  Description: Changed to retrieve hourly data for all 2GT from server replicate server VISUSJANAW0002    SELECT *  FROM maint_2GTHeatMapTags  SELECT *  FROM maint_2GTHeatMapReportConfiguration    DECLARE @TagValue INT  EXEC @TagValue= dbo.TagValue_2GT '2025-04-18 07:00',  '2025-04-18 08:00',           'L02_iGoodCt_PLCDM', 'VISUSJANAW0002'  SELECT @TagValue  *****************************************************************************</t>
  </si>
  <si>
    <t>portConfiguration    DECLARE @TagValue INT  EXEC @TagValue= dbo.TagValue_2GT '2025-04-18 07:00',  '2025-04-18 08:00',           'L02_iGoodCt_PLCDM', 'VISUSJANAW0002'  SELECT @TagValue  ****************************************************************************************************/  CREATE PROCEDURE [dbo].[TagValue_2GT]      @pStartDateTime VARCHAR(50),      @pEndDateTime VARCHAR(50),      @pTagName VARCHAR(250),      @pInSQLName VARCHAR(50)  AS  BEGIN   DECLARE @TagValue AS FLOAT        /**</t>
  </si>
  <si>
    <t xml:space="preserve"> 3GT     Author:   Thure Hoeckelberg   Modified:   2024/07/15   Description: Changed to retrieve hourly data for all 2GT from server replicate server VISUSJANAW0002    SELECT *  FROM maint_3GTHeatMapTags  SELECT *  FROM maint_3GTHeatMapReportConfiguration    DECLARE @TagValue INT  EXEC @TagValue= dbo.TagValue_2GT '2021-02-24 07:00',  '2021-02-24 08:00',           'AP2_BAD_COUNT11', 'WVISUS3GTSER4H'  SELECT @TagValue  *******************************************************************************</t>
  </si>
  <si>
    <t xml:space="preserve"> 3GT     Author:   Thure Hoeckelberg   Modified:   2024/07/15   Description: Changed to retrieve hourly data for all 3GT from server replicate server VISUSJANAW0002    SELECT *  FROM maint_3GTHeatMapTags  SELECT *  FROM maint_3GTHeatMapReportConfiguration    DECLARE @TagValue INT  EXEC @TagValue= dbo.TagValue_3GT '2021-02-24 07:00',  '2021-02-24 08:00',           'AP2_BAD_COUNT11', 'WVISUS3GTSER4H'  SELECT @TagValue  *******************************************************************************</t>
  </si>
  <si>
    <t xml:space="preserve"> 3GT     Author:   Thure Hoeckelberg   Modified:   2024/07/15   Description: Changed to retrieve hourly data for all 3GT from server replicate server VISUSJANAW0002    SELECT *  FROM maint_3GTHeatMapTags  SELECT *  FROM maint_3GTHeatMapReportConfiguration    DECLARE @TagValue INT  EXEC @TagValue= dbo.TagValue_3GT '2025-04-18 07:00',  '2025-04-18 08:00',           'AP1_GOODCOUNT2', 'VISUSJANAW0002'  SELECT @TagValue  ********************************************************************************</t>
  </si>
  <si>
    <t>pReportConfiguration    DECLARE @TagValue INT  EXEC @TagValue= dbo.TagValue_3GT '2025-04-18 07:00',  '2025-04-18 08:00',           'AP1_GOODCOUNT2', 'VISUSJANAW0002'  SELECT @TagValue  ****************************************************************************************************/  CREATE PROCEDURE [dbo].[TagValue_3GT]      @pStartDateTime VARCHAR(50),      @pEndDateTime VARCHAR(50),      @pTagName VARCHAR(250),      @pInSQLName VARCHAR(50)  AS  BEGIN   DECLARE @TagValue AS FLOAT        /**</t>
  </si>
  <si>
    <t>etrievalMode = 'CYCLIC'                           RETURN @TagValue     END       ELSE      BEGIN      SELECT @TagValue = SUM(ISNULL(value,0))    FROM VISUSJANAW0002.Runtime.dbo.v_AnalogHistory    WHERE TagName  = @pTagName    AND DateTime &gt;= @pStartDateTime    AND DateTime &lt; @pEndDateTime    AND wwRetrievalMode = 'COUNTER'      IF @TagValue IN ('EP0_CRV_COUNT1', 'NP0_CRV_COUNT1')    SET @TagValue = 2*@TagValue   RETURN @TagValue     END    END</t>
  </si>
  <si>
    <t xml:space="preserve"> 4GT     Author:   Thure Hoeckelberg   Modified:   2024/07/15   Description: Changed to retrieve hourly data for all 4GT from server replicate server VISUSJANAW0002    SELECT *  FROM maint_4GTHeatMapTags  SELECT *  FROM maint_4GTHeatMapReportConfiguration    DECLARE @TagValue INT  EXEC @TagValue= dbo.TagValue_4GT '2025-04-18 07:00',  '2025-04-18 08:00',           'L51_Stat_Filling.OUT', 'VISUSJANAW0002'  SELECT @TagValue  **************************************************************************</t>
  </si>
  <si>
    <t>tConfiguration    DECLARE @TagValue INT  EXEC @TagValue= dbo.TagValue_4GT '2025-04-18 07:00',  '2025-04-18 08:00',           'L51_Stat_Filling.OUT', 'VISUSJANAW0002'  SELECT @TagValue  ****************************************************************************************************/   CREATE PROCEDURE [dbo].[TagValue_4GT]      @pStartDateTime VARCHAR(50),      @pEndDateTime VARCHAR(50),      @pTagName VARCHAR(250),      @pInSQLName VARCHAR(50)  AS  BEGIN   DECLARE @TagValue AS FLOAT        /*</t>
  </si>
  <si>
    <t xml:space="preserve"> 3GT     Author:   Thure Hoeckelberg   Modified:   2024/07/15   Description: Changed to retrieve hourly data for all 4GT from server replicate server VISUSJANAW0002    SELECT *  FROM maint_3GTHeatMapTags  SELECT *  FROM maint_3GTHeatMapReportConfiguration    DECLARE @TagValue INT  EXEC @TagValue= dbo.TagValue_4GT '2021-02-24 07:00',  '2021-02-24 08:00',           'AP2_BAD_COUNT11', 'WVISUS3GTSER4H'  SELECT @TagValue  *******************************************************************************</t>
  </si>
  <si>
    <t>*****   Author:   Thure Hoeckelberg   Modified:    2024/07/15   Description: Changed to retrieve hourly data for all 2GT from server replicate server VISUSJANAW0002       DECLARE @TagValue INT  EXEC @TagValue= dbo.TagValue_HourData_2GT '2021-02-23 05:00',  '2021-02-23 06:00',           'L24_PLC4_EM0602_Stray_Indexer.StatsCnt.CurrS.Total_Out',                'VISUSJP3GTHIST'    *********************************************************************************************************/  CREATE PROCE</t>
  </si>
  <si>
    <t>*****   Author:   Thure Hoeckelberg   Modified:    2024/07/15   Description: Changed to retrieve hourly data for all 3GT from server replicate server VISUSJANAW0002       DECLARE @TagValue INT  EXEC @TagValue= dbo.TagValue_HourData_2GT '2021-02-23 05:00',  '2021-02-23 06:00',           'L24_PLC4_EM0602_Stray_Indexer.StatsCnt.CurrS.Total_Out',                'VISUSJP3GTHIST'    *********************************************************************************************************/  CREATE PROCE</t>
  </si>
  <si>
    <t>*****   Author:   Thure Hoeckelberg   Modified:    2024/07/15   Description: Changed to retrieve hourly data for all 4GT from server replicate server VISUSJANAW0002       DECLARE @TagValue INT  EXEC @TagValue= dbo.TagValue_HourData_4GT '2021-02-23 05:00',  '2021-02-23 06:00',           'L24_PLC4_EM0602_Stray_Indexer.StatsCnt.CurrS.Total_Out',                'VISUSJP3GTHIST'    *********************************************************************************************************/  CREATE PROCE</t>
  </si>
  <si>
    <t>e Date: 2024/07/15   Description: Function to return the hourly value for a tag given two dates and a TagName for        lines using historian server VISUSJANAW0002    SHIFT PRODUCTION. New functionality takes into account that PLC clock resets at different time  We use this function to determine the number of parts within any shift  **********************************************************************************************/  CREATE FUNCTION [dbo].[timeRangePartQty_2GT]  (          @pDateTime</t>
  </si>
  <si>
    <t>lueAtTimeRangeEnd AS INT   DECLARE @pMaxValueAtTimeRangeStart AS INT                  SELECT @pMaxValueWithinTimeRange=ISNULL(MAX(value),0)      FROM VISUSJANAW0002.Runtime.dbo.History    WHERE TagName  = @pTagName       AND DateTime BETWEEN  @pDateTimeFrom  AND @pDateTimeTo    AND Quality = 0    AND wwVersion = 'Latest'   AND wwRetrievalMode = 'Cyclic'   AND wwResolution = 60000               SELECT @pMaxValueAtTimeRangeEnd=ISNULL(MAX(value),0)    FROM VISUSJANAW0002.Runtime.dbo.History   WHERE</t>
  </si>
  <si>
    <t>ion = 'Latest'   AND wwRetrievalMode = 'Cyclic'   AND wwResolution = 60000               SELECT @pMaxValueAtTimeRangeEnd=ISNULL(MAX(value),0)    FROM VISUSJANAW0002.Runtime.dbo.History   WHERE TagName  = @pTagName   AND DateTime BETWEEN DATEADD(mi,-1,@pDateTimeTo)  AND @pDateTimeTo   AND Quality = 0   AND wwVersion = 'Latest'   AND wwRetrievalMode = 'Cyclic'   AND wwResolution = 60000         SELECT @pMaxValueAtTimeRangeStart=ISNULL(MAX(value),0)    FROM VISUSJANAW0002.Runtime.dbo.History   WHER</t>
  </si>
  <si>
    <t>Version = 'Latest'   AND wwRetrievalMode = 'Cyclic'   AND wwResolution = 60000         SELECT @pMaxValueAtTimeRangeStart=ISNULL(MAX(value),0)    FROM VISUSJANAW0002.Runtime.dbo.History   WHERE TagName  = @pTagName   AND DateTime BETWEEN DATEADD(mi,-1,@pDateTimeFrom)  AND @pDateTimeFrom   AND Quality = 0   AND wwVersion = 'Latest'   AND wwRetrievalMode = 'Cyclic'   AND wwResolution = 60000                   SELECT @PartNmb=CASE       WHEN @pMaxValueAtTimeRangeEnd=@pMaxValueWithinTimeRange THEN @p</t>
  </si>
  <si>
    <t>lueAtTimeRangeEnd AS INT   DECLARE @pMaxValueAtTimeRangeStart AS INT                  SELECT @pMaxValueWithinTimeRange=ISNULL(MAX(value),0)      FROM VISUSJANAW0002.Runtime.dbo.History    WHERE TagName  = @pTagName       AND DateTime BETWEEN  @pDateTimeFrom  AND @pDateTimeTo      AND wwVersion = 'Latest'   AND wwRetrievalMode = 'Cyclic'   AND wwResolution = 60000          SELECT @PartNmb=CASE       WHEN @pMaxValueAtTimeRangeEnd=@pMaxValueWithinTimeRange THEN @pMaxValueAtTimeRangeEnd       ELSE @</t>
  </si>
  <si>
    <t>e Date: 2024/07/15   Description: Function to return the hourly value for a tag given two dates and a TagName for        lines using historian server VISUSJANAW0002    SHIFT PRODUCTION. New functionality takes into account that PLC clock resets at different time  We use this function to determine the number of parts within any shift  **********************************************************************************************/  CREATE FUNCTION [dbo].[timeRangePartQty_3GT]  (          @pDateTime</t>
  </si>
  <si>
    <t>e Date: 2024/07/15   Description: Function to return the hourly value for a tag given two dates and a TagName for        lines using historian server VISUSJANAW0002    SHIFT PRODUCTION. New functionality takes into account that PLC clock resets at different time  We use this function to determine the number of parts within any shift  **********************************************************************************************/  CREATE FUNCTION [dbo].[timeRangePartQty_4GT]  (          @pDateTime</t>
  </si>
  <si>
    <t>Us.     Author:   Thure Hoeckelberg   Modified:    2024/07/15   Description: Changed to retrieve hourly data for all 3GT from server replicate server VISUSJANAW0002    EXEC YieldBySKULoader   ******************************************************************************************************/  CREATE PROCEDURE [dbo].[YieldBySKULoader]   AS  BEGIN          SET NOCOUNT ON            DECLARE @ErrorLocation AS VARCHAR(2)          DECLARE @OldLastUpdateDate AS DATETIME          DECLARE @NewLastUpda</t>
  </si>
  <si>
    <t>ECT LotNum,SampleDate,cav1,cav2,cav3,cav4,cav5,cav6,cav7,cav8,           cav9,cav10,cav11,cav12,cav13,cav14,cav15,cav16                FROM OpenQuery(VISUSJANAW0002,                ''SELECT * FROM                        OpenQuery(INSQL,                       ''''SELECT '''''''''+@LotNum+''''''''' LotNum,CONVERT(nvarchar, DateTime, 113) SampleDate'+@TagPart+'        FROM Runtime.dbo.WideHistory       WHERE wwVersion = "Latest"       AND DateTime &gt;="'+@DateTimeFrom+'"                      AND Date</t>
  </si>
  <si>
    <t>)       Author:   Thure Hoeckelberg   Modified:    2024/07/15   Description: Changed to retrieve hourly data for all 3GT from server replicate server VISUSJANAW0002    EXEC ZonePerformance3GTDataLoader    *****************************************************************************************************************/  CREATE PROCEDURE [dbo].[ZonePerformance3GTDataLoader]   AS  BEGIN  BEGIN TRY   BEGIN TRANSACTION      IF OBJECT_ID('tempdb..#TagValues') IS NOT NULL DROP TABLE #TagValues   IF OBJ</t>
  </si>
  <si>
    <t>IF OBJECT_ID('tempdb..#ProductionDateTeam') IS NOT NULL DROP TABLE #ProductionDateTeam        DECLARE @ErrorLocation AS  VARCHAR(2)   DECLARE @SQLStmtVISUSJANAW0002 AS VARCHAR(MAX)   DECLARE @TagNameStringVISUSJANAW0002 VARCHAR(MAX)   DECLARE @ProductionDate DATETIME      DECLARE @TeamID VARCHAR(3)      DECLARE @ShiftEnd DATETIME      DECLARE @ID INT        CREATE TABLE #TagValues(TagName VARCHAR(MAX), TagValue INT)      CREATE TABLE #ProductionDateTeam (ID INT IDENTITY(1,1), ProductionDate DATE</t>
  </si>
  <si>
    <t xml:space="preserve"> DROP TABLE #ProductionDateTeam        DECLARE @ErrorLocation AS  VARCHAR(2)   DECLARE @SQLStmtVISUSJANAW0002 AS VARCHAR(MAX)   DECLARE @TagNameStringVISUSJANAW0002 VARCHAR(MAX)   DECLARE @ProductionDate DATETIME      DECLARE @TeamID VARCHAR(3)      DECLARE @ShiftEnd DATETIME      DECLARE @ID INT        CREATE TABLE #TagValues(TagName VARCHAR(MAX), TagValue INT)      CREATE TABLE #ProductionDateTeam (ID INT IDENTITY(1,1), ProductionDate DATETIME, TeamID VARCHAR(3),             ShiftEnd DATETIME,</t>
  </si>
  <si>
    <t>**************************************************************************************************/    SET @ErrorLocation='2'       SET @TagNameStringVISUSJANAW0002=''    SELECT @TagNameStringVISUSJANAW0002=@TagNameStringVISUSJANAW0002 +','''+zt.TagName+''''    FROM maint_3GTZoneTagName zt    JOIN maint_line ml ON ml.LineID=zt.LineID    WHERE ml.ProductionInd='Y'    /****************************************************************************************************************   get all data fo</t>
  </si>
  <si>
    <t>********************************************************/    SET @ErrorLocation='2'       SET @TagNameStringVISUSJANAW0002=''    SELECT @TagNameStringVISUSJANAW0002=@TagNameStringVISUSJANAW0002 +','''+zt.TagName+''''    FROM maint_3GTZoneTagName zt    JOIN maint_line ml ON ml.LineID=zt.LineID    WHERE ml.ProductionInd='Y'    /****************************************************************************************************************   get all data for lines for servers WVISUS3GTSER4H and new</t>
  </si>
  <si>
    <t>***************************/    SET @ErrorLocation='2'       SET @TagNameStringVISUSJANAW0002=''    SELECT @TagNameStringVISUSJANAW0002=@TagNameStringVISUSJANAW0002 +','''+zt.TagName+''''    FROM maint_3GTZoneTagName zt    JOIN maint_line ml ON ml.LineID=zt.LineID    WHERE ml.ProductionInd='Y'    /****************************************************************************************************************   get all data for lines for servers WVISUS3GTSER4H and new server VISUSJP3GTHIST  *****</t>
  </si>
  <si>
    <t xml:space="preserve">nd       FROM #ProductionDateTeam        WHERE ID=(SELECT MIN(ID)         FROM #ProductionDateTeam         WHERE ProcessInd='NO')         SET @SQLStmtVISUSJANAW0002=        'INSERT INTO #TagValues (TagName, TagValue)     SELECT h.TagName, MAX(h.Value)     FROM VISUSJANAW0002.Runtime.dbo.History h     LEFT JOIN VISUSJANAW0002.Runtime.dbo.QualityMap qm      ON qm.QualityDetail = h.QualityDetail     WHERE h.TagName IN ('+SUBSTRING(@TagNameStringVISUSJANAW0002,2,8000)+')     AND h.wwRetrievalMode = </t>
  </si>
  <si>
    <t>E ProcessInd='NO')         SET @SQLStmtVISUSJANAW0002=        'INSERT INTO #TagValues (TagName, TagValue)     SELECT h.TagName, MAX(h.Value)     FROM VISUSJANAW0002.Runtime.dbo.History h     LEFT JOIN VISUSJANAW0002.Runtime.dbo.QualityMap qm      ON qm.QualityDetail = h.QualityDetail     WHERE h.TagName IN ('+SUBSTRING(@TagNameStringVISUSJANAW0002,2,8000)+')     AND h.wwRetrievalMode = ''Delta''     AND h.DateTime &gt;= '''+CONVERT(VARCHAR(50),DATEADD(mi,-5,@ShiftEnd),121)+'''     AND h.DateTime &lt;=</t>
  </si>
  <si>
    <t>02=        'INSERT INTO #TagValues (TagName, TagValue)     SELECT h.TagName, MAX(h.Value)     FROM VISUSJANAW0002.Runtime.dbo.History h     LEFT JOIN VISUSJANAW0002.Runtime.dbo.QualityMap qm      ON qm.QualityDetail = h.QualityDetail     WHERE h.TagName IN ('+SUBSTRING(@TagNameStringVISUSJANAW0002,2,8000)+')     AND h.wwRetrievalMode = ''Delta''     AND h.DateTime &gt;= '''+CONVERT(VARCHAR(50),DATEADD(mi,-5,@ShiftEnd),121)+'''     AND h.DateTime &lt;= '''+ CONVERT(VARCHAR(50),DATEADD(mi,5,@ShiftEnd),1</t>
  </si>
  <si>
    <t>h     LEFT JOIN VISUSJANAW0002.Runtime.dbo.QualityMap qm      ON qm.QualityDetail = h.QualityDetail     WHERE h.TagName IN ('+SUBSTRING(@TagNameStringVISUSJANAW0002,2,8000)+')     AND h.wwRetrievalMode = ''Delta''     AND h.DateTime &gt;= '''+CONVERT(VARCHAR(50),DATEADD(mi,-5,@ShiftEnd),121)+'''     AND h.DateTime &lt;= '''+ CONVERT(VARCHAR(50),DATEADD(mi,5,@ShiftEnd),121)+'''     AND qm.QualityString=''Good''     GROUP BY h.TagName'              EXEC (@SQLStmtVISUSJANAW0002)      /*******************</t>
  </si>
  <si>
    <t>ime &lt;= '''+ CONVERT(VARCHAR(50),DATEADD(mi,5,@ShiftEnd),121)+'''     AND qm.QualityString=''Good''     GROUP BY h.TagName'              EXEC (@SQLStmtVISUSJANAW0002)      /****************************************************************************************************************   Isert all data into zone_Performance3GT table  *****************************************************************************************************************/   SET @ErrorLocation='4'                      INSER</t>
  </si>
  <si>
    <t>ge)     Author:   Thure Hoeckelberg   Modified:    2024/07/15   Description: Changed to retrieve hourly data for all 3GT from server replicate server VISUSJANAW0002    EXEC ZonePerformanceAndLosses3GTDataSource '03/30/2023 A','01/01/1900','01/01/1900','LOSSES',34  EXEC ZonePerformanceAndLosses3GTDataSource 'NONE','07/20/2023','07/26/2023','LOSSES',34  *************************************************************************************************************************/  CREATE PROCEDURE [dbo]</t>
  </si>
  <si>
    <t>*************************/   DECLARE @DateTimeFrom DATETIME   DECLARE @DateTimeTo DATETIME     DECLARE @InSQLName VARCHAR(25)   DECLARE @TagNameStringVISUSJANAW0002 VARCHAR(MAX)   DECLARE @SQLStmtVISUSJANAW0002 AS VARCHAR(MAX)       CREATE TABLE #RecordSet (LineID SMALLINT, LineName VARCHAR(10), ZoneName VARCHAR(50), TagValue INT)   CREATE TABLE #TagValues (TagName VARCHAR(250), TagValue INT)    IF @ProductionDateTeam!='NONE'   BEGIN          SELECT @DateTimeTo=ShiftEnd   FROM maint_ProductionSc</t>
  </si>
  <si>
    <t>From DATETIME   DECLARE @DateTimeTo DATETIME     DECLARE @InSQLName VARCHAR(25)   DECLARE @TagNameStringVISUSJANAW0002 VARCHAR(MAX)   DECLARE @SQLStmtVISUSJANAW0002 AS VARCHAR(MAX)       CREATE TABLE #RecordSet (LineID SMALLINT, LineName VARCHAR(10), ZoneName VARCHAR(50), TagValue INT)   CREATE TABLE #TagValues (TagName VARCHAR(250), TagValue INT)    IF @ProductionDateTeam!='NONE'   BEGIN          SELECT @DateTimeTo=ShiftEnd   FROM maint_ProductionSchedule   WHERE ProductionDate=LEFT(@Production</t>
  </si>
  <si>
    <t>ND    ELSE     BEGIN      SET @DateTimeFrom=DATEADD(mi,-5,@DateTimeTo)      SET @DateTimeTo=DATEADD(mi,5,@DateTimeTo)     END       SET @TagNameStringVISUSJANAW0002=''   SELECT @TagNameStringVISUSJANAW0002=@TagNameStringVISUSJANAW0002 +','''+zt1.TagName+'''',       @InSQLName=zt1.LinkedServer   FROM maint_3GTZoneTagName zt1   JOIN maint_Line ml ON ml.LineID=zt1.LineID   WHERE zt1.LinkedServer='VISUSJANAW0002'    AND ml.ActiveInd='Y'   AND ml.ProductionInd='Y'       /*****************************</t>
  </si>
  <si>
    <t>om=DATEADD(mi,-5,@DateTimeTo)      SET @DateTimeTo=DATEADD(mi,5,@DateTimeTo)     END       SET @TagNameStringVISUSJANAW0002=''   SELECT @TagNameStringVISUSJANAW0002=@TagNameStringVISUSJANAW0002 +','''+zt1.TagName+'''',       @InSQLName=zt1.LinkedServer   FROM maint_3GTZoneTagName zt1   JOIN maint_Line ml ON ml.LineID=zt1.LineID   WHERE zt1.LinkedServer='VISUSJANAW0002'    AND ml.ActiveInd='Y'   AND ml.ProductionInd='Y'       /**********************************************************************</t>
  </si>
  <si>
    <t xml:space="preserve">      SET @DateTimeTo=DATEADD(mi,5,@DateTimeTo)     END       SET @TagNameStringVISUSJANAW0002=''   SELECT @TagNameStringVISUSJANAW0002=@TagNameStringVISUSJANAW0002 +','''+zt1.TagName+'''',       @InSQLName=zt1.LinkedServer   FROM maint_3GTZoneTagName zt1   JOIN maint_Line ml ON ml.LineID=zt1.LineID   WHERE zt1.LinkedServer='VISUSJANAW0002'    AND ml.ActiveInd='Y'   AND ml.ProductionInd='Y'       /***************************************************************************************************</t>
  </si>
  <si>
    <t>agName+'''',       @InSQLName=zt1.LinkedServer   FROM maint_3GTZoneTagName zt1   JOIN maint_Line ml ON ml.LineID=zt1.LineID   WHERE zt1.LinkedServer='VISUSJANAW0002'    AND ml.ActiveInd='Y'   AND ml.ProductionInd='Y'       /*************************************************************************************************************************   @SQLStmt below union records from all 3 linked server  *************************************************************************************************</t>
  </si>
  <si>
    <t>rver  *************************************************************************************************************************/          SET @SQLStmtVISUSJANAW0002=      'INSERT INTO #TagValues (TagName,TagValue)       SELECT h.TagName,MAX(h.Value)       FROM VISUSJANAW0002.Runtime.dbo.History h       LEFT JOIN VISUSJANAW0002.Runtime.dbo.QualityMap qm        ON qm.QualityDetail = h.QualityDetail       WHERE h.TagName IN ('+SUBSTRING(@TagNameStringVISUSJANAW0002,2,8000)+')       AND h.wwRetrieva</t>
  </si>
  <si>
    <t>****************/          SET @SQLStmtVISUSJANAW0002=      'INSERT INTO #TagValues (TagName,TagValue)       SELECT h.TagName,MAX(h.Value)       FROM VISUSJANAW0002.Runtime.dbo.History h       LEFT JOIN VISUSJANAW0002.Runtime.dbo.QualityMap qm        ON qm.QualityDetail = h.QualityDetail       WHERE h.TagName IN ('+SUBSTRING(@TagNameStringVISUSJANAW0002,2,8000)+')       AND h.wwRetrievalMode = ''Delta''       AND h.DateTime &gt;= '''+CONVERT(VARCHAR(50),@DateTimeFrom,121)+'''       AND h.DateTime &lt;</t>
  </si>
  <si>
    <t xml:space="preserve">=      'INSERT INTO #TagValues (TagName,TagValue)       SELECT h.TagName,MAX(h.Value)       FROM VISUSJANAW0002.Runtime.dbo.History h       LEFT JOIN VISUSJANAW0002.Runtime.dbo.QualityMap qm        ON qm.QualityDetail = h.QualityDetail       WHERE h.TagName IN ('+SUBSTRING(@TagNameStringVISUSJANAW0002,2,8000)+')       AND h.wwRetrievalMode = ''Delta''       AND h.DateTime &gt;= '''+CONVERT(VARCHAR(50),@DateTimeFrom,121)+'''       AND h.DateTime &lt;= '''+ CONVERT(VARCHAR(50),@DateTimeTo,121)+'''      </t>
  </si>
  <si>
    <t xml:space="preserve">  LEFT JOIN VISUSJANAW0002.Runtime.dbo.QualityMap qm        ON qm.QualityDetail = h.QualityDetail       WHERE h.TagName IN ('+SUBSTRING(@TagNameStringVISUSJANAW0002,2,8000)+')       AND h.wwRetrievalMode = ''Delta''       AND h.DateTime &gt;= '''+CONVERT(VARCHAR(50),@DateTimeFrom,121)+'''       AND h.DateTime &lt;= '''+ CONVERT(VARCHAR(50),@DateTimeTo,121)+'''        GROUP BY h.TagName'           EXEC (@SQLStmtVISUSJANAW0002)         INSERT INTO #RecordSet (LineID, LineName, ZoneName, TagValue)      S</t>
  </si>
  <si>
    <t xml:space="preserve">R(50),@DateTimeFrom,121)+'''       AND h.DateTime &lt;= '''+ CONVERT(VARCHAR(50),@DateTimeTo,121)+'''        GROUP BY h.TagName'           EXEC (@SQLStmtVISUSJANAW0002)         INSERT INTO #RecordSet (LineID, LineName, ZoneName, TagValue)      SELECT ml.LineID, ml.LineName, lt.ZoneName,             CASE WHEN rt.TagValue &gt; 150000 THEN NULL--eliminate value spikes              ELSE rt.TagValue             END       FROM maint_3GTZoneTagName lt      INNER JOIN maint_Line ml ON lt.LineID=ml.LineID     </t>
  </si>
  <si>
    <t>EXEC HeatMap4GTLast48HoursLoader</t>
  </si>
  <si>
    <t>/*     This Job executes SP HeatMap4GTLast48HoursLoader, which in Turn will load table HeatMap4GTLast48Hours which is a data source for 4GTHeatMap.aspx web page. *** IMPORTANT: This job is dependent on job: ALILPHDataLoader4GT.Therefore, schedule for this job must start 5 minutes after the top of the hour, Otherwise, ALiYield will not be captured for previous hour. */    EXEC HeatMap4GTLast48HoursLoader</t>
  </si>
  <si>
    <t>CellDataLoader</t>
  </si>
  <si>
    <t>EXEC HeatMapDataLoader</t>
  </si>
  <si>
    <t>Global_OEE_Shift_Loader</t>
  </si>
  <si>
    <t>OEE_Tableau_Data_Loader</t>
  </si>
  <si>
    <t>OeeTargetDB</t>
  </si>
  <si>
    <t>EXEC OEE_Tableau_Data_Loader</t>
  </si>
  <si>
    <t>Heat_MapData_Loader</t>
  </si>
  <si>
    <t>EXEC HeatMapDataLoader_PostGre</t>
  </si>
  <si>
    <t>EXEC HeatMap2GTLast48HoursLoader</t>
  </si>
  <si>
    <t>EXEC HeatMap2GTLast48HoursALI_HS_Z21Loader</t>
  </si>
  <si>
    <t>EXEC HeatMap3GTLast48HoursLoader</t>
  </si>
  <si>
    <t>ShiftBriefEmailReport</t>
  </si>
  <si>
    <t>EXEC HeatMapCMMSKPIEmailReport</t>
  </si>
  <si>
    <t>SPNData</t>
  </si>
  <si>
    <t>EXEC LoadSPNDataToTmpTable_PostGre</t>
  </si>
  <si>
    <t>EXEC Tableau2GTDataLoader</t>
  </si>
  <si>
    <t>EXEC Tableau3GTDataLoader</t>
  </si>
  <si>
    <t>EXEC Tableau4GTDataLoader</t>
  </si>
  <si>
    <t>LinkedServerName</t>
  </si>
  <si>
    <t>product</t>
  </si>
  <si>
    <t>provider</t>
  </si>
  <si>
    <t>data_source</t>
  </si>
  <si>
    <t>catalog</t>
  </si>
  <si>
    <t>is_data_access_enabled</t>
  </si>
  <si>
    <t>is_rpc_out_enabled</t>
  </si>
  <si>
    <t>ADSI</t>
  </si>
  <si>
    <t>Active Directory Service Interfaces</t>
  </si>
  <si>
    <t>ADSDSOObject</t>
  </si>
  <si>
    <t>adsdatasource</t>
  </si>
  <si>
    <t>NULL</t>
  </si>
  <si>
    <t>CANARY_HISTORIAN</t>
  </si>
  <si>
    <t>MSDASQL</t>
  </si>
  <si>
    <t>CanaryODBCClient</t>
  </si>
  <si>
    <t>Excel_2010</t>
  </si>
  <si>
    <t>Excel</t>
  </si>
  <si>
    <t>Microsoft.ACE.OLEDB.12.0</t>
  </si>
  <si>
    <t>F:\Accessdatbase engine file\VCInventoryAnalytics_US11_IE11.xlsx</t>
  </si>
  <si>
    <t>HIST_METADATA</t>
  </si>
  <si>
    <t>Hist_MetaData</t>
  </si>
  <si>
    <t>JAX_CMNPDB</t>
  </si>
  <si>
    <t>OraOLEDB.Oracle</t>
  </si>
  <si>
    <t>PEU420GT.jnj.com</t>
  </si>
  <si>
    <t>JAX_DISTDCS</t>
  </si>
  <si>
    <t>PDDB5636S</t>
  </si>
  <si>
    <t>JAX_LIMS</t>
  </si>
  <si>
    <t>MRAP0686.jnj.com</t>
  </si>
  <si>
    <t>JAXLIM_AZURE_DB</t>
  </si>
  <si>
    <t>ADsDSOObject</t>
  </si>
  <si>
    <t>jjvmff-dwsvr-prod.database.windows.net</t>
  </si>
  <si>
    <t>MNFDB_CMMS</t>
  </si>
  <si>
    <t>Oracle</t>
  </si>
  <si>
    <t>PDDB5642.JNJ.COM</t>
  </si>
  <si>
    <t>MNFDB_CRIBMASTER</t>
  </si>
  <si>
    <t>PDDB5643.jnj.com</t>
  </si>
  <si>
    <t>MNFDB_MESTP</t>
  </si>
  <si>
    <t>PDDB5645.JNJ.COM</t>
  </si>
  <si>
    <t>MNFDB_MPOD_CMMS</t>
  </si>
  <si>
    <t>PDDB5640.JNJ.COM</t>
  </si>
  <si>
    <t>MNFDB_MSP</t>
  </si>
  <si>
    <t>SQLNCLI</t>
  </si>
  <si>
    <t>AZRAVNNVAW0003</t>
  </si>
  <si>
    <t>MNFDB_P3GT</t>
  </si>
  <si>
    <t>PDDB5646</t>
  </si>
  <si>
    <t>MNFDB_VISODS</t>
  </si>
  <si>
    <t>ODSP.WORLD</t>
  </si>
  <si>
    <t>MSP_DEV</t>
  </si>
  <si>
    <t>AZRAWWNVAW0003</t>
  </si>
  <si>
    <t>REPROCESS_DEV</t>
  </si>
  <si>
    <t>app10ad.world</t>
  </si>
  <si>
    <t>TEST</t>
  </si>
  <si>
    <t>VISUSJPWWT2HIS.jaxprod.local</t>
  </si>
  <si>
    <t>VISUSFMPWWHIS01</t>
  </si>
  <si>
    <t>VISUSFMPWWHIS01.jaxprod.local</t>
  </si>
  <si>
    <t>VISUSJANAW0002</t>
  </si>
  <si>
    <t>VISUSJP3GTHIST</t>
  </si>
  <si>
    <t>VISUSJP3GTHIST.JAXPROD.LOCAL</t>
  </si>
  <si>
    <t>VISUSJP3GTHIST2</t>
  </si>
  <si>
    <t>VISUSJP3GTHIST2.jaxprod.local</t>
  </si>
  <si>
    <t>VISUSJP4GTHIST</t>
  </si>
  <si>
    <t>VISUSJP4GTHIST.jaxprod.local</t>
  </si>
  <si>
    <t>VISUSJP5GTHIST</t>
  </si>
  <si>
    <t>VISUSJP5GTHIST.JAXPROD.LOCAL</t>
  </si>
  <si>
    <t>VISUSJPWWT2HIS</t>
  </si>
  <si>
    <t>WVISUS2GTSER4H</t>
  </si>
  <si>
    <t>WVISUS2GTSER4h.jaxprod.local</t>
  </si>
  <si>
    <t>WVISUS3GTSER4H</t>
  </si>
  <si>
    <t>WVISUS3GTSER4H.jaxprod.local</t>
  </si>
  <si>
    <t>WVISUS4GTSER4H</t>
  </si>
  <si>
    <t>WVISUS4GTSER4H.jaxprod.local</t>
  </si>
  <si>
    <t>TableName</t>
  </si>
  <si>
    <t>ColumnName</t>
  </si>
  <si>
    <t>DataType</t>
  </si>
  <si>
    <t>max_length</t>
  </si>
  <si>
    <t>CMMS_Defered_WO_Data</t>
  </si>
  <si>
    <t>Last_Updt_Source</t>
  </si>
  <si>
    <t>varchar</t>
  </si>
  <si>
    <t>excelCellInputOutputTags</t>
  </si>
  <si>
    <t>InputTagName</t>
  </si>
  <si>
    <t>OutputTagName</t>
  </si>
  <si>
    <t>excelCellInputOutputTags_Org</t>
  </si>
  <si>
    <t>heatMap2GTCurrHour</t>
  </si>
  <si>
    <t>TagName</t>
  </si>
  <si>
    <t>heatMap2GTLast48Hours</t>
  </si>
  <si>
    <t>heatMap2GTLast48Hours_Org</t>
  </si>
  <si>
    <t>heatMap3GTCurrHour</t>
  </si>
  <si>
    <t>heatMap3GTLast48Hours</t>
  </si>
  <si>
    <t>heatMap3GTLast48Hours_Canary</t>
  </si>
  <si>
    <t>heatMap3GTLast48Hours_Org</t>
  </si>
  <si>
    <t>heatMap4GTCurrHour</t>
  </si>
  <si>
    <t>HS_2GT_Data</t>
  </si>
  <si>
    <t>imm_Performance</t>
  </si>
  <si>
    <t>TagDescription</t>
  </si>
  <si>
    <t>L61_Temp_Data</t>
  </si>
  <si>
    <t>line_Issues</t>
  </si>
  <si>
    <t>CreateSource</t>
  </si>
  <si>
    <t>UpdateSource</t>
  </si>
  <si>
    <t>line_IssuesResolutionGroupEntries</t>
  </si>
  <si>
    <t>line_TimeRequestInfo</t>
  </si>
  <si>
    <t>line_TimeRequestScheduleInfo</t>
  </si>
  <si>
    <t>RequestSource</t>
  </si>
  <si>
    <t>ActualHoursSource</t>
  </si>
  <si>
    <t>ApproveSource</t>
  </si>
  <si>
    <t>ShiftCreditTypeSource</t>
  </si>
  <si>
    <t>DeleteSource</t>
  </si>
  <si>
    <t>LPM_DownTime_Min</t>
  </si>
  <si>
    <t>Tag_Name</t>
  </si>
  <si>
    <t>maint_2GT_HS_Tag</t>
  </si>
  <si>
    <t>InSQLName</t>
  </si>
  <si>
    <t>maint_2GTHeatMapCellColor</t>
  </si>
  <si>
    <t>TransactionSource</t>
  </si>
  <si>
    <t>maint_2GTHeatMapReportConfiguration</t>
  </si>
  <si>
    <t>TagNumerator</t>
  </si>
  <si>
    <t>TagDenominator</t>
  </si>
  <si>
    <t>maint_2GTHeatMapTags</t>
  </si>
  <si>
    <t>ServerName</t>
  </si>
  <si>
    <t>maint_2GTHeatMapTags_Org</t>
  </si>
  <si>
    <t>maint_2GTHeatMapTargets</t>
  </si>
  <si>
    <t>maint_3GTHeatMapReportConfiguration</t>
  </si>
  <si>
    <t>maint_3GTHeatMapTags</t>
  </si>
  <si>
    <t>maint_3GTHeatMapTags_Canary</t>
  </si>
  <si>
    <t>maint_3GTHeatMapTags_Canary_Old</t>
  </si>
  <si>
    <t>maint_3GTHeatMapTags_Org</t>
  </si>
  <si>
    <t>maint_3GTTagValidationMap</t>
  </si>
  <si>
    <t>WonderwareTagName</t>
  </si>
  <si>
    <t>WonderwareServerName</t>
  </si>
  <si>
    <t>CanaryTagName</t>
  </si>
  <si>
    <t>maint_3GTZoneTagName</t>
  </si>
  <si>
    <t>LinkedServer</t>
  </si>
  <si>
    <t>maint_3GTZoneTagName_Org</t>
  </si>
  <si>
    <t>maint_4GT_UpDown_OEE_tags</t>
  </si>
  <si>
    <t>maint_4GT_UpDown_OEE_tags_Org</t>
  </si>
  <si>
    <t>maint_4GTHeatMapCellColor</t>
  </si>
  <si>
    <t>maint_4GTHeatMapReportConfiguration</t>
  </si>
  <si>
    <t>maint_4GTHeatMapTags</t>
  </si>
  <si>
    <t>maint_4GTHeatMapTags_Org</t>
  </si>
  <si>
    <t>maint_BP_Brand</t>
  </si>
  <si>
    <t>maint_BP_Line</t>
  </si>
  <si>
    <t>maint_BusinessPlan</t>
  </si>
  <si>
    <t>maint_BusinessPlan_tmpBP</t>
  </si>
  <si>
    <t>maint_CellInOutTags</t>
  </si>
  <si>
    <t>maint_CellInOutTags_3GT</t>
  </si>
  <si>
    <t>maint_CellInOutTags_4GT</t>
  </si>
  <si>
    <t>maint_CFPM_BP</t>
  </si>
  <si>
    <t>maint_CFPMVolume</t>
  </si>
  <si>
    <t>maint_CFPMVolume_Drop</t>
  </si>
  <si>
    <t>maint_DeptBrandLensCost</t>
  </si>
  <si>
    <t>maint_FMD_LineVariable</t>
  </si>
  <si>
    <t>maint_IMMTags</t>
  </si>
  <si>
    <t>maint_LineProductInfo</t>
  </si>
  <si>
    <t>maint_LineProductInfo_Old</t>
  </si>
  <si>
    <t>maint_LineProductInfo_tmpBP</t>
  </si>
  <si>
    <t>maint_LineSPN_3GTCanaryTag</t>
  </si>
  <si>
    <t>maint_LineSPN_3GTCanaryTag$</t>
  </si>
  <si>
    <t>nvarchar</t>
  </si>
  <si>
    <t>maint_LineSPNCurrentTag</t>
  </si>
  <si>
    <t>maint_LineSPNTag</t>
  </si>
  <si>
    <t>maint_LineTag</t>
  </si>
  <si>
    <t>maint_OEELineParameters</t>
  </si>
  <si>
    <t>LastModifiedSource</t>
  </si>
  <si>
    <t>maint_PLCClockResetTrend</t>
  </si>
  <si>
    <t>maint_ReprocessTarget</t>
  </si>
  <si>
    <t>maint_Servo_Tag</t>
  </si>
  <si>
    <t>TagCategory</t>
  </si>
  <si>
    <t>maint_ShiftCreditProjects</t>
  </si>
  <si>
    <t>maint_ShiftCredits</t>
  </si>
  <si>
    <t>maint_ShiftCredits_tmpBP</t>
  </si>
  <si>
    <t>maint_ShiftCreditsHistory</t>
  </si>
  <si>
    <t>maint_ShiftCreditsHistory_tmpBP</t>
  </si>
  <si>
    <t>maint_Tableau2GTTags</t>
  </si>
  <si>
    <t>maint_Tableau3GTTags</t>
  </si>
  <si>
    <t>maint_Tableau4GTTags</t>
  </si>
  <si>
    <t>maint_Temp_L61_Tags</t>
  </si>
  <si>
    <t>tag_name</t>
  </si>
  <si>
    <t>ingest_tag_group</t>
  </si>
  <si>
    <t>tag_type_code</t>
  </si>
  <si>
    <t>Mgr_Action_Log</t>
  </si>
  <si>
    <t>OEE_DownTime</t>
  </si>
  <si>
    <t>tagname</t>
  </si>
  <si>
    <t>OEE_DownTime_Final</t>
  </si>
  <si>
    <t>a_tagname</t>
  </si>
  <si>
    <t>b_tagname</t>
  </si>
  <si>
    <t>OEE_Up_or_DownTime</t>
  </si>
  <si>
    <t>OEE_UpTime</t>
  </si>
  <si>
    <t>OEE_Uptime_Final</t>
  </si>
  <si>
    <t>opp_LotOnPlan</t>
  </si>
  <si>
    <t>opp_LotOnPlanHistory</t>
  </si>
  <si>
    <t>recognition_Dept_WeekTargetShifts</t>
  </si>
  <si>
    <t>CreateUpdateSource</t>
  </si>
  <si>
    <t>recognition_LineProductTargetShifts</t>
  </si>
  <si>
    <t>recognition_LineProductTargetShiftsHistory</t>
  </si>
  <si>
    <t>recognition_LineProductWeekTargetShifts</t>
  </si>
  <si>
    <t>recognition_LineProductWeekTargetShiftsHistory</t>
  </si>
  <si>
    <t>recognition_LineProductWeekTargetShiftsHistory_drop</t>
  </si>
  <si>
    <t>recognition_SAPMonthDetails</t>
  </si>
  <si>
    <t>SourceInd</t>
  </si>
  <si>
    <t>recognition_SAPWeekDetails</t>
  </si>
  <si>
    <t>Servo_Data</t>
  </si>
  <si>
    <t>shift_ActionPlan</t>
  </si>
  <si>
    <t>shift_ActionPlanAttachments</t>
  </si>
  <si>
    <t>shift_Downtime</t>
  </si>
  <si>
    <t>SourceID</t>
  </si>
  <si>
    <t>Tableau2GTData</t>
  </si>
  <si>
    <t>Tableau3GTData</t>
  </si>
  <si>
    <t>Tableau4GTData</t>
  </si>
  <si>
    <t>traksys_TagValue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</si>
</sst>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Aptos Narrow"/>
    </font>
    <font>
      <sz val="11"/>
      <color rgb="FF008000"/>
      <name val="Aptos Narrow"/>
    </font>
    <font>
      <sz val="11"/>
      <color rgb="FF0000FF"/>
      <name val="Aptos Narrow"/>
    </font>
    <font>
      <b/>
      <sz val="16"/>
      <color rgb="FFFFFFFF"/>
      <name val="Aptos Narrow"/>
    </font>
  </fonts>
  <fills count="7">
    <fill>
      <patternFill patternType="none"/>
    </fill>
    <fill>
      <patternFill patternType="gray125"/>
    </fill>
    <fill>
      <patternFill patternType="solid">
        <fgColor rgb="FF17365D"/>
      </patternFill>
    </fill>
    <fill>
      <patternFill patternType="solid">
        <fgColor rgb="FF5B9BD5"/>
      </patternFill>
    </fill>
    <fill>
      <patternFill patternType="solid">
        <fgColor rgb="FFD9EAF7"/>
      </patternFill>
    </fill>
    <fill>
      <patternFill patternType="solid">
        <fgColor rgb="FFFFFFFF"/>
      </patternFill>
    </fill>
    <fill>
      <patternFill patternType="solid">
        <fgColor rgb="FF7030A0"/>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3" borderId="0" xfId="0" applyFont="1" applyFill="1" applyAlignment="1">
      <alignment vertical="top" wrapText="1"/>
    </xf>
    <xf numFmtId="0" fontId="1" fillId="6" borderId="0" xfId="0" applyFont="1"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0" borderId="0" xfId="0" applyAlignment="1">
      <alignment vertical="top" wrapText="1"/>
    </xf>
  </cellXfs>
  <cellStyles count="1">
    <cellStyle name="Normal" xfId="0" builtinId="0"/>
  </cellStyles>
  <dxfs count="4">
    <dxf>
      <fill>
        <patternFill patternType="solid">
          <fgColor rgb="FFE7E6E6"/>
        </patternFill>
      </fill>
    </dxf>
    <dxf>
      <fill>
        <patternFill patternType="solid">
          <fgColor rgb="FFE2F0D9"/>
        </patternFill>
      </fill>
    </dxf>
    <dxf>
      <fill>
        <patternFill patternType="solid">
          <fgColor rgb="FFFCE4D6"/>
        </patternFill>
      </fill>
    </dxf>
    <dxf>
      <fill>
        <patternFill patternType="solid">
          <f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Migration Status</a:t>
            </a:r>
          </a:p>
        </c:rich>
      </c:tx>
      <c:overlay val="1"/>
    </c:title>
    <c:autoTitleDeleted val="0"/>
    <c:plotArea>
      <c:layout/>
      <c:barChart>
        <c:barDir val="col"/>
        <c:grouping val="clustered"/>
        <c:varyColors val="1"/>
        <c:ser>
          <c:idx val="0"/>
          <c:order val="0"/>
          <c:spPr>
            <a:ln>
              <a:prstDash val="solid"/>
            </a:ln>
          </c:spPr>
          <c:invertIfNegative val="1"/>
          <c:cat>
            <c:strRef>
              <c:f>'Matrix Summary'!$A$8:$A$12</c:f>
              <c:strCache>
                <c:ptCount val="5"/>
                <c:pt idx="0">
                  <c:v>Rewrite required</c:v>
                </c:pt>
                <c:pt idx="1">
                  <c:v>Replacement exists - validate</c:v>
                </c:pt>
                <c:pt idx="2">
                  <c:v>Canary object - validate</c:v>
                </c:pt>
                <c:pt idx="3">
                  <c:v>Review retirement</c:v>
                </c:pt>
                <c:pt idx="4">
                  <c:v>Analysis required</c:v>
                </c:pt>
              </c:strCache>
            </c:strRef>
          </c:cat>
          <c:val>
            <c:numRef>
              <c:f>'Matrix Summary'!$B$8:$B$12</c:f>
              <c:numCache>
                <c:formatCode>General</c:formatCode>
                <c:ptCount val="5"/>
                <c:pt idx="0">
                  <c:v>140</c:v>
                </c:pt>
                <c:pt idx="1">
                  <c:v>10</c:v>
                </c:pt>
                <c:pt idx="2">
                  <c:v>7</c:v>
                </c:pt>
                <c:pt idx="3">
                  <c:v>30</c:v>
                </c:pt>
                <c:pt idx="4">
                  <c:v>39</c:v>
                </c:pt>
              </c:numCache>
            </c:numRef>
          </c:val>
          <c:extLst>
            <c:ext xmlns:c16="http://schemas.microsoft.com/office/drawing/2014/chart" uri="{C3380CC4-5D6E-409C-BE32-E72D297353CC}">
              <c16:uniqueId val="{00000000-D9D8-4972-ADCF-F13ACFD849F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Status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Objects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14</xdr:row>
      <xdr:rowOff>0</xdr:rowOff>
    </xdr:from>
    <xdr:ext cx="432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grationMatrixTable" displayName="MigrationMatrixTable" ref="A1:V227">
  <autoFilter ref="A1:V227" xr:uid="{00000000-0009-0000-0100-000001000000}">
    <filterColumn colId="5">
      <filters>
        <filter val="3GT"/>
      </filters>
    </filterColumn>
    <filterColumn colId="21">
      <customFilters>
        <customFilter operator="notEqual" val=" "/>
      </customFilters>
    </filterColumn>
  </autoFilter>
  <tableColumns count="22">
    <tableColumn id="1" xr3:uid="{00000000-0010-0000-0000-000001000000}" name="Migration ID"/>
    <tableColumn id="2" xr3:uid="{00000000-0010-0000-0000-000002000000}" name="Database"/>
    <tableColumn id="3" xr3:uid="{00000000-0010-0000-0000-000003000000}" name="Schema"/>
    <tableColumn id="4" xr3:uid="{00000000-0010-0000-0000-000004000000}" name="Legacy Object"/>
    <tableColumn id="5" xr3:uid="{00000000-0010-0000-0000-000005000000}" name="Object Type"/>
    <tableColumn id="6" xr3:uid="{00000000-0010-0000-0000-000006000000}" name="GT Scope"/>
    <tableColumn id="7" xr3:uid="{00000000-0010-0000-0000-000007000000}" name="Functional Role"/>
    <tableColumn id="8" xr3:uid="{00000000-0010-0000-0000-000008000000}" name="VISUSJANAW0002 Ref"/>
    <tableColumn id="9" xr3:uid="{00000000-0010-0000-0000-000009000000}" name="Legacy Historian Ref"/>
    <tableColumn id="10" xr3:uid="{00000000-0010-0000-0000-00000A000000}" name="Direct History/View Hit"/>
    <tableColumn id="11" xr3:uid="{00000000-0010-0000-0000-00000B000000}" name="Canary Ref in Current Object"/>
    <tableColumn id="12" xr3:uid="{00000000-0010-0000-0000-00000C000000}" name="Reference Occurrences"/>
    <tableColumn id="13" xr3:uid="{00000000-0010-0000-0000-00000D000000}" name="SQL Agent Job(s)"/>
    <tableColumn id="14" xr3:uid="{00000000-0010-0000-0000-00000E000000}" name="Lifecycle Indicator"/>
    <tableColumn id="15" xr3:uid="{00000000-0010-0000-0000-00000F000000}" name="Candidate Replacement"/>
    <tableColumn id="16" xr3:uid="{00000000-0010-0000-0000-000010000000}" name="Replacement Basis"/>
    <tableColumn id="17" xr3:uid="{00000000-0010-0000-0000-000011000000}" name="Confidence"/>
    <tableColumn id="18" xr3:uid="{00000000-0010-0000-0000-000012000000}" name="Migration Method"/>
    <tableColumn id="19" xr3:uid="{00000000-0010-0000-0000-000013000000}" name="Migration Status"/>
    <tableColumn id="20" xr3:uid="{00000000-0010-0000-0000-000014000000}" name="Owner"/>
    <tableColumn id="21" xr3:uid="{00000000-0010-0000-0000-000015000000}" name="Validation Result"/>
    <tableColumn id="22" xr3:uid="{00000000-0010-0000-0000-000016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showGridLines="0" workbookViewId="0">
      <pane ySplit="4" topLeftCell="A5" activePane="bottomLeft" state="frozen"/>
      <selection pane="bottomLeft"/>
    </sheetView>
  </sheetViews>
  <sheetFormatPr defaultRowHeight="15" x14ac:dyDescent="0.25"/>
  <cols>
    <col min="1" max="1" width="35" customWidth="1"/>
    <col min="2" max="2" width="18" customWidth="1"/>
    <col min="3" max="3" width="4" customWidth="1"/>
    <col min="4" max="4" width="90" customWidth="1"/>
    <col min="5" max="6" width="4" customWidth="1"/>
  </cols>
  <sheetData>
    <row r="1" spans="1:6" x14ac:dyDescent="0.25">
      <c r="A1" s="9" t="s">
        <v>0</v>
      </c>
      <c r="B1" s="10"/>
      <c r="C1" s="10"/>
      <c r="D1" s="10"/>
      <c r="E1" s="10"/>
      <c r="F1" s="10"/>
    </row>
    <row r="2" spans="1:6" x14ac:dyDescent="0.25">
      <c r="A2" s="1"/>
      <c r="B2" s="1"/>
      <c r="C2" s="1"/>
      <c r="D2" s="1"/>
      <c r="E2" s="1"/>
      <c r="F2" s="1"/>
    </row>
    <row r="3" spans="1:6" ht="135" x14ac:dyDescent="0.25">
      <c r="A3" s="1" t="s">
        <v>1</v>
      </c>
      <c r="B3" s="1" t="s">
        <v>2</v>
      </c>
      <c r="C3" s="1"/>
      <c r="D3" s="1"/>
      <c r="E3" s="1"/>
      <c r="F3" s="1"/>
    </row>
    <row r="4" spans="1:6" x14ac:dyDescent="0.25">
      <c r="A4" s="1"/>
      <c r="B4" s="1"/>
      <c r="C4" s="1"/>
      <c r="D4" s="1"/>
      <c r="E4" s="1"/>
      <c r="F4" s="1"/>
    </row>
    <row r="5" spans="1:6" x14ac:dyDescent="0.25">
      <c r="A5" s="2" t="s">
        <v>3</v>
      </c>
      <c r="B5" s="2" t="s">
        <v>4</v>
      </c>
      <c r="C5" s="2"/>
      <c r="D5" s="3" t="s">
        <v>5</v>
      </c>
      <c r="E5" s="2"/>
      <c r="F5" s="2"/>
    </row>
    <row r="6" spans="1:6" x14ac:dyDescent="0.25">
      <c r="A6" s="4" t="s">
        <v>6</v>
      </c>
      <c r="B6" s="4">
        <f>COUNTA('Migration Matrix'!D:D)-1</f>
        <v>226</v>
      </c>
      <c r="C6" s="1"/>
      <c r="D6" s="1" t="s">
        <v>7</v>
      </c>
      <c r="E6" s="1"/>
      <c r="F6" s="1"/>
    </row>
    <row r="7" spans="1:6" x14ac:dyDescent="0.25">
      <c r="A7" s="5" t="s">
        <v>8</v>
      </c>
      <c r="B7" s="5">
        <f>COUNTIF('Migration Matrix'!J:J,"Yes")</f>
        <v>165</v>
      </c>
      <c r="C7" s="1"/>
      <c r="D7" s="1" t="s">
        <v>9</v>
      </c>
      <c r="E7" s="1"/>
      <c r="F7" s="1"/>
    </row>
    <row r="8" spans="1:6" x14ac:dyDescent="0.25">
      <c r="A8" s="4" t="s">
        <v>10</v>
      </c>
      <c r="B8" s="4">
        <f>COUNTIF('Migration Matrix'!S:S,"Rewrite required")</f>
        <v>140</v>
      </c>
      <c r="C8" s="1"/>
      <c r="D8" s="1" t="s">
        <v>11</v>
      </c>
      <c r="E8" s="1"/>
      <c r="F8" s="1"/>
    </row>
    <row r="9" spans="1:6" x14ac:dyDescent="0.25">
      <c r="A9" s="5" t="s">
        <v>12</v>
      </c>
      <c r="B9" s="5">
        <f>COUNTIF('Migration Matrix'!S:S,"Replacement exists - validate")</f>
        <v>10</v>
      </c>
      <c r="C9" s="1"/>
      <c r="D9" s="1" t="s">
        <v>13</v>
      </c>
      <c r="E9" s="1"/>
      <c r="F9" s="1"/>
    </row>
    <row r="10" spans="1:6" x14ac:dyDescent="0.25">
      <c r="A10" s="4" t="s">
        <v>14</v>
      </c>
      <c r="B10" s="4">
        <f>COUNTIF('Migration Matrix'!S:S,"Canary object - validate")</f>
        <v>7</v>
      </c>
      <c r="C10" s="1"/>
      <c r="D10" s="1" t="s">
        <v>15</v>
      </c>
      <c r="E10" s="1"/>
      <c r="F10" s="1"/>
    </row>
    <row r="11" spans="1:6" x14ac:dyDescent="0.25">
      <c r="A11" s="5" t="s">
        <v>16</v>
      </c>
      <c r="B11" s="5">
        <f>COUNTIF('Migration Matrix'!S:S,"Review retirement")</f>
        <v>30</v>
      </c>
      <c r="C11" s="1"/>
      <c r="D11" s="1" t="s">
        <v>17</v>
      </c>
      <c r="E11" s="1"/>
      <c r="F11" s="1"/>
    </row>
    <row r="12" spans="1:6" x14ac:dyDescent="0.25">
      <c r="A12" s="4" t="s">
        <v>18</v>
      </c>
      <c r="B12" s="4">
        <f>COUNTIF('Migration Matrix'!S:S,"Analysis required")</f>
        <v>39</v>
      </c>
      <c r="C12" s="1"/>
      <c r="D12" s="1" t="s">
        <v>19</v>
      </c>
      <c r="E12" s="1"/>
      <c r="F12" s="1"/>
    </row>
    <row r="13" spans="1:6" x14ac:dyDescent="0.25">
      <c r="A13" s="5" t="s">
        <v>20</v>
      </c>
      <c r="B13" s="5">
        <f>COUNTIF('Migration Matrix'!M:M,"?*")</f>
        <v>7</v>
      </c>
      <c r="C13" s="1"/>
      <c r="D13" s="1"/>
      <c r="E13" s="1"/>
      <c r="F13" s="1"/>
    </row>
  </sheetData>
  <mergeCells count="1">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27"/>
  <sheetViews>
    <sheetView showGridLines="0" tabSelected="1" topLeftCell="Q1" workbookViewId="0">
      <pane ySplit="1" topLeftCell="A46" activePane="bottomLeft" state="frozen"/>
      <selection pane="bottomLeft" activeCell="V46" sqref="V46"/>
    </sheetView>
  </sheetViews>
  <sheetFormatPr defaultRowHeight="15" x14ac:dyDescent="0.25"/>
  <cols>
    <col min="1" max="1" width="14" customWidth="1"/>
    <col min="2" max="2" width="18" customWidth="1"/>
    <col min="3" max="3" width="12" customWidth="1"/>
    <col min="4" max="4" width="44" customWidth="1"/>
    <col min="5" max="5" width="28" customWidth="1"/>
    <col min="6" max="6" width="18" customWidth="1"/>
    <col min="7" max="7" width="30" customWidth="1"/>
    <col min="8" max="9" width="18" customWidth="1"/>
    <col min="10" max="11" width="20" customWidth="1"/>
    <col min="12" max="12" width="18" customWidth="1"/>
    <col min="13" max="13" width="30" customWidth="1"/>
    <col min="14" max="14" width="24" customWidth="1"/>
    <col min="15" max="15" width="38" customWidth="1"/>
    <col min="16" max="16" width="46" customWidth="1"/>
    <col min="17" max="17" width="12" customWidth="1"/>
    <col min="18" max="18" width="55" customWidth="1"/>
    <col min="19" max="19" width="28" customWidth="1"/>
    <col min="20" max="20" width="20" customWidth="1"/>
    <col min="21" max="21" width="24" customWidth="1"/>
    <col min="22" max="22" width="70" customWidth="1"/>
  </cols>
  <sheetData>
    <row r="1" spans="1:22" ht="42" customHeight="1" x14ac:dyDescent="0.25">
      <c r="A1" s="6" t="s">
        <v>21</v>
      </c>
      <c r="B1" s="6" t="s">
        <v>22</v>
      </c>
      <c r="C1" s="6" t="s">
        <v>23</v>
      </c>
      <c r="D1" s="6" t="s">
        <v>24</v>
      </c>
      <c r="E1" s="6" t="s">
        <v>25</v>
      </c>
      <c r="F1" s="6" t="s">
        <v>26</v>
      </c>
      <c r="G1" s="6" t="s">
        <v>27</v>
      </c>
      <c r="H1" s="6" t="s">
        <v>28</v>
      </c>
      <c r="I1" s="6" t="s">
        <v>29</v>
      </c>
      <c r="J1" s="6" t="s">
        <v>30</v>
      </c>
      <c r="K1" s="6" t="s">
        <v>31</v>
      </c>
      <c r="L1" s="6" t="s">
        <v>32</v>
      </c>
      <c r="M1" s="6" t="s">
        <v>33</v>
      </c>
      <c r="N1" s="6" t="s">
        <v>34</v>
      </c>
      <c r="O1" s="6" t="s">
        <v>35</v>
      </c>
      <c r="P1" s="6" t="s">
        <v>36</v>
      </c>
      <c r="Q1" s="6" t="s">
        <v>37</v>
      </c>
      <c r="R1" s="6" t="s">
        <v>38</v>
      </c>
      <c r="S1" s="6" t="s">
        <v>39</v>
      </c>
      <c r="T1" s="6" t="s">
        <v>40</v>
      </c>
      <c r="U1" s="6" t="s">
        <v>41</v>
      </c>
      <c r="V1" s="6" t="s">
        <v>42</v>
      </c>
    </row>
    <row r="2" spans="1:22" ht="120" hidden="1" x14ac:dyDescent="0.25">
      <c r="A2" s="1" t="s">
        <v>43</v>
      </c>
      <c r="B2" s="1" t="s">
        <v>44</v>
      </c>
      <c r="C2" s="1" t="s">
        <v>45</v>
      </c>
      <c r="D2" s="1" t="s">
        <v>46</v>
      </c>
      <c r="E2" s="1" t="s">
        <v>47</v>
      </c>
      <c r="F2" s="1" t="s">
        <v>48</v>
      </c>
      <c r="G2" s="1" t="s">
        <v>49</v>
      </c>
      <c r="H2" s="7" t="s">
        <v>50</v>
      </c>
      <c r="I2" s="7" t="s">
        <v>50</v>
      </c>
      <c r="J2" s="7" t="s">
        <v>50</v>
      </c>
      <c r="K2" s="7" t="s">
        <v>51</v>
      </c>
      <c r="L2" s="1">
        <v>4</v>
      </c>
      <c r="M2" s="1"/>
      <c r="N2" s="1" t="s">
        <v>52</v>
      </c>
      <c r="O2" s="1" t="s">
        <v>53</v>
      </c>
      <c r="P2" s="1" t="s">
        <v>54</v>
      </c>
      <c r="Q2" s="1" t="s">
        <v>55</v>
      </c>
      <c r="R2" s="1" t="s">
        <v>56</v>
      </c>
      <c r="S2" s="1" t="s">
        <v>10</v>
      </c>
      <c r="T2" s="8"/>
      <c r="U2" s="8"/>
      <c r="V2" s="1" t="s">
        <v>57</v>
      </c>
    </row>
    <row r="3" spans="1:22" ht="30" hidden="1" x14ac:dyDescent="0.25">
      <c r="A3" s="1" t="s">
        <v>58</v>
      </c>
      <c r="B3" s="1" t="s">
        <v>44</v>
      </c>
      <c r="C3" s="1" t="s">
        <v>45</v>
      </c>
      <c r="D3" s="1" t="s">
        <v>59</v>
      </c>
      <c r="E3" s="1" t="s">
        <v>47</v>
      </c>
      <c r="F3" s="1" t="s">
        <v>48</v>
      </c>
      <c r="G3" s="1" t="s">
        <v>49</v>
      </c>
      <c r="H3" s="7" t="s">
        <v>51</v>
      </c>
      <c r="I3" s="7" t="s">
        <v>50</v>
      </c>
      <c r="J3" s="7" t="s">
        <v>50</v>
      </c>
      <c r="K3" s="7" t="s">
        <v>51</v>
      </c>
      <c r="L3" s="1">
        <v>0</v>
      </c>
      <c r="M3" s="1"/>
      <c r="N3" s="1" t="s">
        <v>52</v>
      </c>
      <c r="O3" s="1" t="s">
        <v>53</v>
      </c>
      <c r="P3" s="1" t="s">
        <v>54</v>
      </c>
      <c r="Q3" s="1" t="s">
        <v>55</v>
      </c>
      <c r="R3" s="1" t="s">
        <v>56</v>
      </c>
      <c r="S3" s="1" t="s">
        <v>10</v>
      </c>
      <c r="T3" s="8"/>
      <c r="U3" s="8"/>
      <c r="V3" s="1"/>
    </row>
    <row r="4" spans="1:22" ht="120" hidden="1" x14ac:dyDescent="0.25">
      <c r="A4" s="1" t="s">
        <v>60</v>
      </c>
      <c r="B4" s="1" t="s">
        <v>44</v>
      </c>
      <c r="C4" s="1" t="s">
        <v>45</v>
      </c>
      <c r="D4" s="1" t="s">
        <v>61</v>
      </c>
      <c r="E4" s="1" t="s">
        <v>47</v>
      </c>
      <c r="F4" s="1" t="s">
        <v>48</v>
      </c>
      <c r="G4" s="1" t="s">
        <v>62</v>
      </c>
      <c r="H4" s="7" t="s">
        <v>50</v>
      </c>
      <c r="I4" s="7" t="s">
        <v>50</v>
      </c>
      <c r="J4" s="7" t="s">
        <v>50</v>
      </c>
      <c r="K4" s="7" t="s">
        <v>51</v>
      </c>
      <c r="L4" s="1">
        <v>4</v>
      </c>
      <c r="M4" s="1"/>
      <c r="N4" s="1" t="s">
        <v>52</v>
      </c>
      <c r="O4" s="1" t="s">
        <v>53</v>
      </c>
      <c r="P4" s="1" t="s">
        <v>54</v>
      </c>
      <c r="Q4" s="1" t="s">
        <v>55</v>
      </c>
      <c r="R4" s="1" t="s">
        <v>56</v>
      </c>
      <c r="S4" s="1" t="s">
        <v>10</v>
      </c>
      <c r="T4" s="8"/>
      <c r="U4" s="8"/>
      <c r="V4" s="1" t="s">
        <v>63</v>
      </c>
    </row>
    <row r="5" spans="1:22" ht="120" hidden="1" x14ac:dyDescent="0.25">
      <c r="A5" s="1" t="s">
        <v>64</v>
      </c>
      <c r="B5" s="1" t="s">
        <v>44</v>
      </c>
      <c r="C5" s="1" t="s">
        <v>45</v>
      </c>
      <c r="D5" s="1" t="s">
        <v>65</v>
      </c>
      <c r="E5" s="1" t="s">
        <v>47</v>
      </c>
      <c r="F5" s="1" t="s">
        <v>48</v>
      </c>
      <c r="G5" s="1" t="s">
        <v>66</v>
      </c>
      <c r="H5" s="7" t="s">
        <v>50</v>
      </c>
      <c r="I5" s="7" t="s">
        <v>50</v>
      </c>
      <c r="J5" s="7" t="s">
        <v>50</v>
      </c>
      <c r="K5" s="7" t="s">
        <v>51</v>
      </c>
      <c r="L5" s="1">
        <v>2</v>
      </c>
      <c r="M5" s="1"/>
      <c r="N5" s="1" t="s">
        <v>52</v>
      </c>
      <c r="O5" s="1" t="s">
        <v>53</v>
      </c>
      <c r="P5" s="1" t="s">
        <v>54</v>
      </c>
      <c r="Q5" s="1" t="s">
        <v>55</v>
      </c>
      <c r="R5" s="1" t="s">
        <v>56</v>
      </c>
      <c r="S5" s="1" t="s">
        <v>10</v>
      </c>
      <c r="T5" s="8"/>
      <c r="U5" s="8"/>
      <c r="V5" s="1" t="s">
        <v>67</v>
      </c>
    </row>
    <row r="6" spans="1:22" ht="30" hidden="1" x14ac:dyDescent="0.25">
      <c r="A6" s="1" t="s">
        <v>68</v>
      </c>
      <c r="B6" s="1" t="s">
        <v>44</v>
      </c>
      <c r="C6" s="1" t="s">
        <v>45</v>
      </c>
      <c r="D6" s="1" t="s">
        <v>69</v>
      </c>
      <c r="E6" s="1" t="s">
        <v>47</v>
      </c>
      <c r="F6" s="1" t="s">
        <v>48</v>
      </c>
      <c r="G6" s="1" t="s">
        <v>66</v>
      </c>
      <c r="H6" s="7" t="s">
        <v>51</v>
      </c>
      <c r="I6" s="7" t="s">
        <v>50</v>
      </c>
      <c r="J6" s="7" t="s">
        <v>50</v>
      </c>
      <c r="K6" s="7" t="s">
        <v>51</v>
      </c>
      <c r="L6" s="1">
        <v>0</v>
      </c>
      <c r="M6" s="1"/>
      <c r="N6" s="1" t="s">
        <v>52</v>
      </c>
      <c r="O6" s="1" t="s">
        <v>53</v>
      </c>
      <c r="P6" s="1" t="s">
        <v>54</v>
      </c>
      <c r="Q6" s="1" t="s">
        <v>55</v>
      </c>
      <c r="R6" s="1" t="s">
        <v>56</v>
      </c>
      <c r="S6" s="1" t="s">
        <v>10</v>
      </c>
      <c r="T6" s="8"/>
      <c r="U6" s="8"/>
      <c r="V6" s="1"/>
    </row>
    <row r="7" spans="1:22" ht="120" hidden="1" x14ac:dyDescent="0.25">
      <c r="A7" s="1" t="s">
        <v>70</v>
      </c>
      <c r="B7" s="1" t="s">
        <v>44</v>
      </c>
      <c r="C7" s="1" t="s">
        <v>45</v>
      </c>
      <c r="D7" s="1" t="s">
        <v>71</v>
      </c>
      <c r="E7" s="1" t="s">
        <v>47</v>
      </c>
      <c r="F7" s="1" t="s">
        <v>48</v>
      </c>
      <c r="G7" s="1" t="s">
        <v>66</v>
      </c>
      <c r="H7" s="7" t="s">
        <v>50</v>
      </c>
      <c r="I7" s="7" t="s">
        <v>50</v>
      </c>
      <c r="J7" s="7" t="s">
        <v>50</v>
      </c>
      <c r="K7" s="7" t="s">
        <v>51</v>
      </c>
      <c r="L7" s="1">
        <v>4</v>
      </c>
      <c r="M7" s="1"/>
      <c r="N7" s="1" t="s">
        <v>52</v>
      </c>
      <c r="O7" s="1" t="s">
        <v>53</v>
      </c>
      <c r="P7" s="1" t="s">
        <v>54</v>
      </c>
      <c r="Q7" s="1" t="s">
        <v>55</v>
      </c>
      <c r="R7" s="1" t="s">
        <v>56</v>
      </c>
      <c r="S7" s="1" t="s">
        <v>10</v>
      </c>
      <c r="T7" s="8"/>
      <c r="U7" s="8"/>
      <c r="V7" s="1" t="s">
        <v>72</v>
      </c>
    </row>
    <row r="8" spans="1:22" ht="30" hidden="1" x14ac:dyDescent="0.25">
      <c r="A8" s="1" t="s">
        <v>73</v>
      </c>
      <c r="B8" s="1" t="s">
        <v>44</v>
      </c>
      <c r="C8" s="1" t="s">
        <v>45</v>
      </c>
      <c r="D8" s="1" t="s">
        <v>74</v>
      </c>
      <c r="E8" s="1" t="s">
        <v>47</v>
      </c>
      <c r="F8" s="1" t="s">
        <v>48</v>
      </c>
      <c r="G8" s="1" t="s">
        <v>66</v>
      </c>
      <c r="H8" s="7" t="s">
        <v>51</v>
      </c>
      <c r="I8" s="7" t="s">
        <v>50</v>
      </c>
      <c r="J8" s="7" t="s">
        <v>50</v>
      </c>
      <c r="K8" s="7" t="s">
        <v>51</v>
      </c>
      <c r="L8" s="1">
        <v>0</v>
      </c>
      <c r="M8" s="1"/>
      <c r="N8" s="1" t="s">
        <v>52</v>
      </c>
      <c r="O8" s="1" t="s">
        <v>53</v>
      </c>
      <c r="P8" s="1" t="s">
        <v>54</v>
      </c>
      <c r="Q8" s="1" t="s">
        <v>55</v>
      </c>
      <c r="R8" s="1" t="s">
        <v>56</v>
      </c>
      <c r="S8" s="1" t="s">
        <v>10</v>
      </c>
      <c r="T8" s="8"/>
      <c r="U8" s="8"/>
      <c r="V8" s="1"/>
    </row>
    <row r="9" spans="1:22" ht="30" hidden="1" x14ac:dyDescent="0.25">
      <c r="A9" s="1" t="s">
        <v>75</v>
      </c>
      <c r="B9" s="1" t="s">
        <v>44</v>
      </c>
      <c r="C9" s="1" t="s">
        <v>45</v>
      </c>
      <c r="D9" s="1" t="s">
        <v>76</v>
      </c>
      <c r="E9" s="1" t="s">
        <v>47</v>
      </c>
      <c r="F9" s="1" t="s">
        <v>48</v>
      </c>
      <c r="G9" s="1" t="s">
        <v>66</v>
      </c>
      <c r="H9" s="7" t="s">
        <v>51</v>
      </c>
      <c r="I9" s="7" t="s">
        <v>50</v>
      </c>
      <c r="J9" s="7" t="s">
        <v>50</v>
      </c>
      <c r="K9" s="7" t="s">
        <v>51</v>
      </c>
      <c r="L9" s="1">
        <v>0</v>
      </c>
      <c r="M9" s="1"/>
      <c r="N9" s="1" t="s">
        <v>77</v>
      </c>
      <c r="O9" s="1" t="s">
        <v>53</v>
      </c>
      <c r="P9" s="1" t="s">
        <v>54</v>
      </c>
      <c r="Q9" s="1" t="s">
        <v>55</v>
      </c>
      <c r="R9" s="1" t="s">
        <v>78</v>
      </c>
      <c r="S9" s="1" t="s">
        <v>16</v>
      </c>
      <c r="T9" s="8"/>
      <c r="U9" s="8"/>
      <c r="V9" s="1"/>
    </row>
    <row r="10" spans="1:22" ht="30" hidden="1" x14ac:dyDescent="0.25">
      <c r="A10" s="1" t="s">
        <v>79</v>
      </c>
      <c r="B10" s="1" t="s">
        <v>44</v>
      </c>
      <c r="C10" s="1" t="s">
        <v>45</v>
      </c>
      <c r="D10" s="1" t="s">
        <v>80</v>
      </c>
      <c r="E10" s="1" t="s">
        <v>47</v>
      </c>
      <c r="F10" s="1" t="s">
        <v>48</v>
      </c>
      <c r="G10" s="1" t="s">
        <v>66</v>
      </c>
      <c r="H10" s="7" t="s">
        <v>51</v>
      </c>
      <c r="I10" s="7" t="s">
        <v>50</v>
      </c>
      <c r="J10" s="7" t="s">
        <v>50</v>
      </c>
      <c r="K10" s="7" t="s">
        <v>51</v>
      </c>
      <c r="L10" s="1">
        <v>0</v>
      </c>
      <c r="M10" s="1"/>
      <c r="N10" s="1" t="s">
        <v>52</v>
      </c>
      <c r="O10" s="1" t="s">
        <v>81</v>
      </c>
      <c r="P10" s="1" t="s">
        <v>82</v>
      </c>
      <c r="Q10" s="1" t="s">
        <v>55</v>
      </c>
      <c r="R10" s="1" t="s">
        <v>56</v>
      </c>
      <c r="S10" s="1" t="s">
        <v>10</v>
      </c>
      <c r="T10" s="8"/>
      <c r="U10" s="8"/>
      <c r="V10" s="1"/>
    </row>
    <row r="11" spans="1:22" ht="120" hidden="1" x14ac:dyDescent="0.25">
      <c r="A11" s="1" t="s">
        <v>83</v>
      </c>
      <c r="B11" s="1" t="s">
        <v>44</v>
      </c>
      <c r="C11" s="1" t="s">
        <v>45</v>
      </c>
      <c r="D11" s="1" t="s">
        <v>84</v>
      </c>
      <c r="E11" s="1" t="s">
        <v>47</v>
      </c>
      <c r="F11" s="1" t="s">
        <v>48</v>
      </c>
      <c r="G11" s="1" t="s">
        <v>66</v>
      </c>
      <c r="H11" s="7" t="s">
        <v>50</v>
      </c>
      <c r="I11" s="7" t="s">
        <v>50</v>
      </c>
      <c r="J11" s="7" t="s">
        <v>50</v>
      </c>
      <c r="K11" s="7" t="s">
        <v>51</v>
      </c>
      <c r="L11" s="1">
        <v>4</v>
      </c>
      <c r="M11" s="1"/>
      <c r="N11" s="1" t="s">
        <v>52</v>
      </c>
      <c r="O11" s="1" t="s">
        <v>53</v>
      </c>
      <c r="P11" s="1" t="s">
        <v>54</v>
      </c>
      <c r="Q11" s="1" t="s">
        <v>55</v>
      </c>
      <c r="R11" s="1" t="s">
        <v>56</v>
      </c>
      <c r="S11" s="1" t="s">
        <v>10</v>
      </c>
      <c r="T11" s="8"/>
      <c r="U11" s="8"/>
      <c r="V11" s="1" t="s">
        <v>85</v>
      </c>
    </row>
    <row r="12" spans="1:22" ht="120" hidden="1" x14ac:dyDescent="0.25">
      <c r="A12" s="1" t="s">
        <v>86</v>
      </c>
      <c r="B12" s="1" t="s">
        <v>44</v>
      </c>
      <c r="C12" s="1" t="s">
        <v>45</v>
      </c>
      <c r="D12" s="1" t="s">
        <v>87</v>
      </c>
      <c r="E12" s="1" t="s">
        <v>47</v>
      </c>
      <c r="F12" s="1" t="s">
        <v>48</v>
      </c>
      <c r="G12" s="1" t="s">
        <v>66</v>
      </c>
      <c r="H12" s="7" t="s">
        <v>50</v>
      </c>
      <c r="I12" s="7" t="s">
        <v>50</v>
      </c>
      <c r="J12" s="7" t="s">
        <v>50</v>
      </c>
      <c r="K12" s="7" t="s">
        <v>51</v>
      </c>
      <c r="L12" s="1">
        <v>2</v>
      </c>
      <c r="M12" s="1"/>
      <c r="N12" s="1" t="s">
        <v>77</v>
      </c>
      <c r="O12" s="1" t="s">
        <v>53</v>
      </c>
      <c r="P12" s="1" t="s">
        <v>54</v>
      </c>
      <c r="Q12" s="1" t="s">
        <v>55</v>
      </c>
      <c r="R12" s="1" t="s">
        <v>78</v>
      </c>
      <c r="S12" s="1" t="s">
        <v>16</v>
      </c>
      <c r="T12" s="8"/>
      <c r="U12" s="8"/>
      <c r="V12" s="1" t="s">
        <v>85</v>
      </c>
    </row>
    <row r="13" spans="1:22" ht="30" hidden="1" x14ac:dyDescent="0.25">
      <c r="A13" s="1" t="s">
        <v>88</v>
      </c>
      <c r="B13" s="1" t="s">
        <v>44</v>
      </c>
      <c r="C13" s="1" t="s">
        <v>45</v>
      </c>
      <c r="D13" s="1" t="s">
        <v>89</v>
      </c>
      <c r="E13" s="1" t="s">
        <v>47</v>
      </c>
      <c r="F13" s="1" t="s">
        <v>48</v>
      </c>
      <c r="G13" s="1" t="s">
        <v>66</v>
      </c>
      <c r="H13" s="7" t="s">
        <v>51</v>
      </c>
      <c r="I13" s="7" t="s">
        <v>50</v>
      </c>
      <c r="J13" s="7" t="s">
        <v>50</v>
      </c>
      <c r="K13" s="7" t="s">
        <v>51</v>
      </c>
      <c r="L13" s="1">
        <v>0</v>
      </c>
      <c r="M13" s="1"/>
      <c r="N13" s="1" t="s">
        <v>52</v>
      </c>
      <c r="O13" s="1" t="s">
        <v>53</v>
      </c>
      <c r="P13" s="1" t="s">
        <v>54</v>
      </c>
      <c r="Q13" s="1" t="s">
        <v>55</v>
      </c>
      <c r="R13" s="1" t="s">
        <v>56</v>
      </c>
      <c r="S13" s="1" t="s">
        <v>10</v>
      </c>
      <c r="T13" s="8"/>
      <c r="U13" s="8"/>
      <c r="V13" s="1"/>
    </row>
    <row r="14" spans="1:22" ht="105" hidden="1" x14ac:dyDescent="0.25">
      <c r="A14" s="1" t="s">
        <v>90</v>
      </c>
      <c r="B14" s="1" t="s">
        <v>44</v>
      </c>
      <c r="C14" s="1" t="s">
        <v>45</v>
      </c>
      <c r="D14" s="1" t="s">
        <v>91</v>
      </c>
      <c r="E14" s="1" t="s">
        <v>92</v>
      </c>
      <c r="F14" s="1" t="s">
        <v>48</v>
      </c>
      <c r="G14" s="1" t="s">
        <v>93</v>
      </c>
      <c r="H14" s="7" t="s">
        <v>50</v>
      </c>
      <c r="I14" s="7" t="s">
        <v>50</v>
      </c>
      <c r="J14" s="7" t="s">
        <v>51</v>
      </c>
      <c r="K14" s="7" t="s">
        <v>51</v>
      </c>
      <c r="L14" s="1">
        <v>2</v>
      </c>
      <c r="M14" s="1"/>
      <c r="N14" s="1" t="s">
        <v>52</v>
      </c>
      <c r="O14" s="1" t="s">
        <v>81</v>
      </c>
      <c r="P14" s="1" t="s">
        <v>82</v>
      </c>
      <c r="Q14" s="1" t="s">
        <v>55</v>
      </c>
      <c r="R14" s="1" t="s">
        <v>94</v>
      </c>
      <c r="S14" s="1" t="s">
        <v>18</v>
      </c>
      <c r="T14" s="8"/>
      <c r="U14" s="8"/>
      <c r="V14" s="1" t="s">
        <v>95</v>
      </c>
    </row>
    <row r="15" spans="1:22" ht="60" hidden="1" x14ac:dyDescent="0.25">
      <c r="A15" s="1" t="s">
        <v>96</v>
      </c>
      <c r="B15" s="1" t="s">
        <v>44</v>
      </c>
      <c r="C15" s="1" t="s">
        <v>45</v>
      </c>
      <c r="D15" s="1" t="s">
        <v>97</v>
      </c>
      <c r="E15" s="1" t="s">
        <v>92</v>
      </c>
      <c r="F15" s="1" t="s">
        <v>48</v>
      </c>
      <c r="G15" s="1" t="s">
        <v>98</v>
      </c>
      <c r="H15" s="7" t="s">
        <v>50</v>
      </c>
      <c r="I15" s="7" t="s">
        <v>50</v>
      </c>
      <c r="J15" s="7" t="s">
        <v>51</v>
      </c>
      <c r="K15" s="7" t="s">
        <v>51</v>
      </c>
      <c r="L15" s="1">
        <v>1</v>
      </c>
      <c r="M15" s="1"/>
      <c r="N15" s="1" t="s">
        <v>52</v>
      </c>
      <c r="O15" s="1" t="s">
        <v>81</v>
      </c>
      <c r="P15" s="1" t="s">
        <v>82</v>
      </c>
      <c r="Q15" s="1" t="s">
        <v>55</v>
      </c>
      <c r="R15" s="1" t="s">
        <v>94</v>
      </c>
      <c r="S15" s="1" t="s">
        <v>18</v>
      </c>
      <c r="T15" s="8"/>
      <c r="U15" s="8"/>
      <c r="V15" s="1" t="s">
        <v>99</v>
      </c>
    </row>
    <row r="16" spans="1:22" ht="120" hidden="1" x14ac:dyDescent="0.25">
      <c r="A16" s="1" t="s">
        <v>100</v>
      </c>
      <c r="B16" s="1" t="s">
        <v>44</v>
      </c>
      <c r="C16" s="1" t="s">
        <v>45</v>
      </c>
      <c r="D16" s="1" t="s">
        <v>101</v>
      </c>
      <c r="E16" s="1" t="s">
        <v>92</v>
      </c>
      <c r="F16" s="1" t="s">
        <v>48</v>
      </c>
      <c r="G16" s="1" t="s">
        <v>102</v>
      </c>
      <c r="H16" s="7" t="s">
        <v>50</v>
      </c>
      <c r="I16" s="7" t="s">
        <v>50</v>
      </c>
      <c r="J16" s="7" t="s">
        <v>51</v>
      </c>
      <c r="K16" s="7" t="s">
        <v>51</v>
      </c>
      <c r="L16" s="1">
        <v>2</v>
      </c>
      <c r="M16" s="1"/>
      <c r="N16" s="1" t="s">
        <v>52</v>
      </c>
      <c r="O16" s="1" t="s">
        <v>81</v>
      </c>
      <c r="P16" s="1" t="s">
        <v>82</v>
      </c>
      <c r="Q16" s="1" t="s">
        <v>55</v>
      </c>
      <c r="R16" s="1" t="s">
        <v>94</v>
      </c>
      <c r="S16" s="1" t="s">
        <v>18</v>
      </c>
      <c r="T16" s="8"/>
      <c r="U16" s="8"/>
      <c r="V16" s="1" t="s">
        <v>103</v>
      </c>
    </row>
    <row r="17" spans="1:22" ht="120" hidden="1" x14ac:dyDescent="0.25">
      <c r="A17" s="1" t="s">
        <v>104</v>
      </c>
      <c r="B17" s="1" t="s">
        <v>44</v>
      </c>
      <c r="C17" s="1" t="s">
        <v>45</v>
      </c>
      <c r="D17" s="1" t="s">
        <v>105</v>
      </c>
      <c r="E17" s="1" t="s">
        <v>92</v>
      </c>
      <c r="F17" s="1" t="s">
        <v>48</v>
      </c>
      <c r="G17" s="1" t="s">
        <v>102</v>
      </c>
      <c r="H17" s="7" t="s">
        <v>50</v>
      </c>
      <c r="I17" s="7" t="s">
        <v>50</v>
      </c>
      <c r="J17" s="7" t="s">
        <v>51</v>
      </c>
      <c r="K17" s="7" t="s">
        <v>51</v>
      </c>
      <c r="L17" s="1">
        <v>2</v>
      </c>
      <c r="M17" s="1"/>
      <c r="N17" s="1" t="s">
        <v>77</v>
      </c>
      <c r="O17" s="1" t="s">
        <v>81</v>
      </c>
      <c r="P17" s="1" t="s">
        <v>82</v>
      </c>
      <c r="Q17" s="1" t="s">
        <v>55</v>
      </c>
      <c r="R17" s="1" t="s">
        <v>78</v>
      </c>
      <c r="S17" s="1" t="s">
        <v>16</v>
      </c>
      <c r="T17" s="8"/>
      <c r="U17" s="8"/>
      <c r="V17" s="1" t="s">
        <v>106</v>
      </c>
    </row>
    <row r="18" spans="1:22" ht="120" hidden="1" x14ac:dyDescent="0.25">
      <c r="A18" s="1" t="s">
        <v>107</v>
      </c>
      <c r="B18" s="1" t="s">
        <v>44</v>
      </c>
      <c r="C18" s="1" t="s">
        <v>45</v>
      </c>
      <c r="D18" s="1" t="s">
        <v>108</v>
      </c>
      <c r="E18" s="1" t="s">
        <v>92</v>
      </c>
      <c r="F18" s="1" t="s">
        <v>48</v>
      </c>
      <c r="G18" s="1" t="s">
        <v>93</v>
      </c>
      <c r="H18" s="7" t="s">
        <v>50</v>
      </c>
      <c r="I18" s="7" t="s">
        <v>50</v>
      </c>
      <c r="J18" s="7" t="s">
        <v>50</v>
      </c>
      <c r="K18" s="7" t="s">
        <v>51</v>
      </c>
      <c r="L18" s="1">
        <v>3</v>
      </c>
      <c r="M18" s="1"/>
      <c r="N18" s="1" t="s">
        <v>52</v>
      </c>
      <c r="O18" s="1" t="s">
        <v>81</v>
      </c>
      <c r="P18" s="1" t="s">
        <v>82</v>
      </c>
      <c r="Q18" s="1" t="s">
        <v>55</v>
      </c>
      <c r="R18" s="1" t="s">
        <v>56</v>
      </c>
      <c r="S18" s="1" t="s">
        <v>10</v>
      </c>
      <c r="T18" s="8"/>
      <c r="U18" s="8"/>
      <c r="V18" s="1" t="s">
        <v>109</v>
      </c>
    </row>
    <row r="19" spans="1:22" ht="30" hidden="1" x14ac:dyDescent="0.25">
      <c r="A19" s="1" t="s">
        <v>110</v>
      </c>
      <c r="B19" s="1" t="s">
        <v>44</v>
      </c>
      <c r="C19" s="1" t="s">
        <v>45</v>
      </c>
      <c r="D19" s="1" t="s">
        <v>111</v>
      </c>
      <c r="E19" s="1" t="s">
        <v>92</v>
      </c>
      <c r="F19" s="1" t="s">
        <v>48</v>
      </c>
      <c r="G19" s="1" t="s">
        <v>98</v>
      </c>
      <c r="H19" s="7" t="s">
        <v>51</v>
      </c>
      <c r="I19" s="7" t="s">
        <v>50</v>
      </c>
      <c r="J19" s="7" t="s">
        <v>51</v>
      </c>
      <c r="K19" s="7" t="s">
        <v>51</v>
      </c>
      <c r="L19" s="1">
        <v>0</v>
      </c>
      <c r="M19" s="1"/>
      <c r="N19" s="1" t="s">
        <v>52</v>
      </c>
      <c r="O19" s="1" t="s">
        <v>81</v>
      </c>
      <c r="P19" s="1" t="s">
        <v>82</v>
      </c>
      <c r="Q19" s="1" t="s">
        <v>55</v>
      </c>
      <c r="R19" s="1" t="s">
        <v>94</v>
      </c>
      <c r="S19" s="1" t="s">
        <v>18</v>
      </c>
      <c r="T19" s="8"/>
      <c r="U19" s="8"/>
      <c r="V19" s="1"/>
    </row>
    <row r="20" spans="1:22" ht="120" hidden="1" x14ac:dyDescent="0.25">
      <c r="A20" s="1" t="s">
        <v>112</v>
      </c>
      <c r="B20" s="1" t="s">
        <v>44</v>
      </c>
      <c r="C20" s="1" t="s">
        <v>45</v>
      </c>
      <c r="D20" s="1" t="s">
        <v>113</v>
      </c>
      <c r="E20" s="1" t="s">
        <v>92</v>
      </c>
      <c r="F20" s="1" t="s">
        <v>48</v>
      </c>
      <c r="G20" s="1" t="s">
        <v>102</v>
      </c>
      <c r="H20" s="7" t="s">
        <v>50</v>
      </c>
      <c r="I20" s="7" t="s">
        <v>50</v>
      </c>
      <c r="J20" s="7" t="s">
        <v>50</v>
      </c>
      <c r="K20" s="7" t="s">
        <v>51</v>
      </c>
      <c r="L20" s="1">
        <v>2</v>
      </c>
      <c r="M20" s="1"/>
      <c r="N20" s="1" t="s">
        <v>52</v>
      </c>
      <c r="O20" s="1" t="s">
        <v>81</v>
      </c>
      <c r="P20" s="1" t="s">
        <v>82</v>
      </c>
      <c r="Q20" s="1" t="s">
        <v>55</v>
      </c>
      <c r="R20" s="1" t="s">
        <v>56</v>
      </c>
      <c r="S20" s="1" t="s">
        <v>10</v>
      </c>
      <c r="T20" s="8"/>
      <c r="U20" s="8"/>
      <c r="V20" s="1" t="s">
        <v>114</v>
      </c>
    </row>
    <row r="21" spans="1:22" ht="75" hidden="1" x14ac:dyDescent="0.25">
      <c r="A21" s="1" t="s">
        <v>115</v>
      </c>
      <c r="B21" s="1" t="s">
        <v>44</v>
      </c>
      <c r="C21" s="1" t="s">
        <v>45</v>
      </c>
      <c r="D21" s="1" t="s">
        <v>116</v>
      </c>
      <c r="E21" s="1" t="s">
        <v>92</v>
      </c>
      <c r="F21" s="1" t="s">
        <v>48</v>
      </c>
      <c r="G21" s="1" t="s">
        <v>117</v>
      </c>
      <c r="H21" s="7" t="s">
        <v>50</v>
      </c>
      <c r="I21" s="7" t="s">
        <v>50</v>
      </c>
      <c r="J21" s="7" t="s">
        <v>51</v>
      </c>
      <c r="K21" s="7" t="s">
        <v>51</v>
      </c>
      <c r="L21" s="1">
        <v>1</v>
      </c>
      <c r="M21" s="1"/>
      <c r="N21" s="1" t="s">
        <v>52</v>
      </c>
      <c r="O21" s="1" t="s">
        <v>81</v>
      </c>
      <c r="P21" s="1" t="s">
        <v>82</v>
      </c>
      <c r="Q21" s="1" t="s">
        <v>55</v>
      </c>
      <c r="R21" s="1" t="s">
        <v>94</v>
      </c>
      <c r="S21" s="1" t="s">
        <v>18</v>
      </c>
      <c r="T21" s="8"/>
      <c r="U21" s="8"/>
      <c r="V21" s="1" t="s">
        <v>118</v>
      </c>
    </row>
    <row r="22" spans="1:22" ht="60" hidden="1" x14ac:dyDescent="0.25">
      <c r="A22" s="1" t="s">
        <v>119</v>
      </c>
      <c r="B22" s="1" t="s">
        <v>44</v>
      </c>
      <c r="C22" s="1" t="s">
        <v>45</v>
      </c>
      <c r="D22" s="1" t="s">
        <v>120</v>
      </c>
      <c r="E22" s="1" t="s">
        <v>92</v>
      </c>
      <c r="F22" s="1" t="s">
        <v>48</v>
      </c>
      <c r="G22" s="1" t="s">
        <v>117</v>
      </c>
      <c r="H22" s="7" t="s">
        <v>50</v>
      </c>
      <c r="I22" s="7" t="s">
        <v>51</v>
      </c>
      <c r="J22" s="7" t="s">
        <v>51</v>
      </c>
      <c r="K22" s="7" t="s">
        <v>51</v>
      </c>
      <c r="L22" s="1">
        <v>1</v>
      </c>
      <c r="M22" s="1"/>
      <c r="N22" s="1" t="s">
        <v>52</v>
      </c>
      <c r="O22" s="1" t="s">
        <v>81</v>
      </c>
      <c r="P22" s="1" t="s">
        <v>82</v>
      </c>
      <c r="Q22" s="1" t="s">
        <v>55</v>
      </c>
      <c r="R22" s="1" t="s">
        <v>94</v>
      </c>
      <c r="S22" s="1" t="s">
        <v>18</v>
      </c>
      <c r="T22" s="8"/>
      <c r="U22" s="8"/>
      <c r="V22" s="1" t="s">
        <v>121</v>
      </c>
    </row>
    <row r="23" spans="1:22" ht="60" hidden="1" x14ac:dyDescent="0.25">
      <c r="A23" s="1" t="s">
        <v>122</v>
      </c>
      <c r="B23" s="1" t="s">
        <v>44</v>
      </c>
      <c r="C23" s="1" t="s">
        <v>45</v>
      </c>
      <c r="D23" s="1" t="s">
        <v>123</v>
      </c>
      <c r="E23" s="1" t="s">
        <v>92</v>
      </c>
      <c r="F23" s="1" t="s">
        <v>48</v>
      </c>
      <c r="G23" s="1" t="s">
        <v>117</v>
      </c>
      <c r="H23" s="7" t="s">
        <v>50</v>
      </c>
      <c r="I23" s="7" t="s">
        <v>51</v>
      </c>
      <c r="J23" s="7" t="s">
        <v>51</v>
      </c>
      <c r="K23" s="7" t="s">
        <v>51</v>
      </c>
      <c r="L23" s="1">
        <v>1</v>
      </c>
      <c r="M23" s="1"/>
      <c r="N23" s="1" t="s">
        <v>77</v>
      </c>
      <c r="O23" s="1" t="s">
        <v>81</v>
      </c>
      <c r="P23" s="1" t="s">
        <v>82</v>
      </c>
      <c r="Q23" s="1" t="s">
        <v>55</v>
      </c>
      <c r="R23" s="1" t="s">
        <v>78</v>
      </c>
      <c r="S23" s="1" t="s">
        <v>16</v>
      </c>
      <c r="T23" s="8"/>
      <c r="U23" s="8"/>
      <c r="V23" s="1" t="s">
        <v>121</v>
      </c>
    </row>
    <row r="24" spans="1:22" ht="120" hidden="1" x14ac:dyDescent="0.25">
      <c r="A24" s="1" t="s">
        <v>124</v>
      </c>
      <c r="B24" s="1" t="s">
        <v>44</v>
      </c>
      <c r="C24" s="1" t="s">
        <v>45</v>
      </c>
      <c r="D24" s="1" t="s">
        <v>125</v>
      </c>
      <c r="E24" s="1" t="s">
        <v>92</v>
      </c>
      <c r="F24" s="1" t="s">
        <v>48</v>
      </c>
      <c r="G24" s="1" t="s">
        <v>117</v>
      </c>
      <c r="H24" s="7" t="s">
        <v>50</v>
      </c>
      <c r="I24" s="7" t="s">
        <v>51</v>
      </c>
      <c r="J24" s="7" t="s">
        <v>51</v>
      </c>
      <c r="K24" s="7" t="s">
        <v>51</v>
      </c>
      <c r="L24" s="1">
        <v>2</v>
      </c>
      <c r="M24" s="1"/>
      <c r="N24" s="1" t="s">
        <v>52</v>
      </c>
      <c r="O24" s="1" t="s">
        <v>81</v>
      </c>
      <c r="P24" s="1" t="s">
        <v>82</v>
      </c>
      <c r="Q24" s="1" t="s">
        <v>55</v>
      </c>
      <c r="R24" s="1" t="s">
        <v>94</v>
      </c>
      <c r="S24" s="1" t="s">
        <v>18</v>
      </c>
      <c r="T24" s="8"/>
      <c r="U24" s="8"/>
      <c r="V24" s="1" t="s">
        <v>126</v>
      </c>
    </row>
    <row r="25" spans="1:22" ht="60" hidden="1" x14ac:dyDescent="0.25">
      <c r="A25" s="1" t="s">
        <v>127</v>
      </c>
      <c r="B25" s="1" t="s">
        <v>44</v>
      </c>
      <c r="C25" s="1" t="s">
        <v>45</v>
      </c>
      <c r="D25" s="1" t="s">
        <v>128</v>
      </c>
      <c r="E25" s="1" t="s">
        <v>92</v>
      </c>
      <c r="F25" s="1" t="s">
        <v>48</v>
      </c>
      <c r="G25" s="1" t="s">
        <v>117</v>
      </c>
      <c r="H25" s="7" t="s">
        <v>50</v>
      </c>
      <c r="I25" s="7" t="s">
        <v>51</v>
      </c>
      <c r="J25" s="7" t="s">
        <v>51</v>
      </c>
      <c r="K25" s="7" t="s">
        <v>51</v>
      </c>
      <c r="L25" s="1">
        <v>1</v>
      </c>
      <c r="M25" s="1"/>
      <c r="N25" s="1" t="s">
        <v>77</v>
      </c>
      <c r="O25" s="1" t="s">
        <v>81</v>
      </c>
      <c r="P25" s="1" t="s">
        <v>82</v>
      </c>
      <c r="Q25" s="1" t="s">
        <v>55</v>
      </c>
      <c r="R25" s="1" t="s">
        <v>78</v>
      </c>
      <c r="S25" s="1" t="s">
        <v>16</v>
      </c>
      <c r="T25" s="8"/>
      <c r="U25" s="8"/>
      <c r="V25" s="1" t="s">
        <v>129</v>
      </c>
    </row>
    <row r="26" spans="1:22" ht="135" hidden="1" x14ac:dyDescent="0.25">
      <c r="A26" s="1" t="s">
        <v>130</v>
      </c>
      <c r="B26" s="1" t="s">
        <v>44</v>
      </c>
      <c r="C26" s="1" t="s">
        <v>45</v>
      </c>
      <c r="D26" s="1" t="s">
        <v>131</v>
      </c>
      <c r="E26" s="1" t="s">
        <v>92</v>
      </c>
      <c r="F26" s="1" t="s">
        <v>48</v>
      </c>
      <c r="G26" s="1" t="s">
        <v>98</v>
      </c>
      <c r="H26" s="7" t="s">
        <v>50</v>
      </c>
      <c r="I26" s="7" t="s">
        <v>50</v>
      </c>
      <c r="J26" s="7" t="s">
        <v>50</v>
      </c>
      <c r="K26" s="7" t="s">
        <v>51</v>
      </c>
      <c r="L26" s="1">
        <v>2</v>
      </c>
      <c r="M26" s="1" t="s">
        <v>132</v>
      </c>
      <c r="N26" s="1" t="s">
        <v>52</v>
      </c>
      <c r="O26" s="1" t="s">
        <v>81</v>
      </c>
      <c r="P26" s="1" t="s">
        <v>82</v>
      </c>
      <c r="Q26" s="1" t="s">
        <v>55</v>
      </c>
      <c r="R26" s="1" t="s">
        <v>56</v>
      </c>
      <c r="S26" s="1" t="s">
        <v>10</v>
      </c>
      <c r="T26" s="8"/>
      <c r="U26" s="8"/>
      <c r="V26" s="1" t="s">
        <v>133</v>
      </c>
    </row>
    <row r="27" spans="1:22" ht="30" hidden="1" x14ac:dyDescent="0.25">
      <c r="A27" s="1" t="s">
        <v>134</v>
      </c>
      <c r="B27" s="1" t="s">
        <v>44</v>
      </c>
      <c r="C27" s="1" t="s">
        <v>45</v>
      </c>
      <c r="D27" s="1" t="s">
        <v>135</v>
      </c>
      <c r="E27" s="1" t="s">
        <v>92</v>
      </c>
      <c r="F27" s="1" t="s">
        <v>48</v>
      </c>
      <c r="G27" s="1" t="s">
        <v>98</v>
      </c>
      <c r="H27" s="7" t="s">
        <v>51</v>
      </c>
      <c r="I27" s="7" t="s">
        <v>50</v>
      </c>
      <c r="J27" s="7" t="s">
        <v>50</v>
      </c>
      <c r="K27" s="7" t="s">
        <v>51</v>
      </c>
      <c r="L27" s="1">
        <v>0</v>
      </c>
      <c r="M27" s="1"/>
      <c r="N27" s="1" t="s">
        <v>77</v>
      </c>
      <c r="O27" s="1" t="s">
        <v>81</v>
      </c>
      <c r="P27" s="1" t="s">
        <v>82</v>
      </c>
      <c r="Q27" s="1" t="s">
        <v>55</v>
      </c>
      <c r="R27" s="1" t="s">
        <v>78</v>
      </c>
      <c r="S27" s="1" t="s">
        <v>16</v>
      </c>
      <c r="T27" s="8"/>
      <c r="U27" s="8"/>
      <c r="V27" s="1"/>
    </row>
    <row r="28" spans="1:22" ht="105" hidden="1" x14ac:dyDescent="0.25">
      <c r="A28" s="1" t="s">
        <v>136</v>
      </c>
      <c r="B28" s="1" t="s">
        <v>44</v>
      </c>
      <c r="C28" s="1" t="s">
        <v>45</v>
      </c>
      <c r="D28" s="1" t="s">
        <v>137</v>
      </c>
      <c r="E28" s="1" t="s">
        <v>92</v>
      </c>
      <c r="F28" s="1" t="s">
        <v>48</v>
      </c>
      <c r="G28" s="1" t="s">
        <v>117</v>
      </c>
      <c r="H28" s="7" t="s">
        <v>50</v>
      </c>
      <c r="I28" s="7" t="s">
        <v>50</v>
      </c>
      <c r="J28" s="7" t="s">
        <v>50</v>
      </c>
      <c r="K28" s="7" t="s">
        <v>51</v>
      </c>
      <c r="L28" s="1">
        <v>4</v>
      </c>
      <c r="M28" s="1"/>
      <c r="N28" s="1" t="s">
        <v>52</v>
      </c>
      <c r="O28" s="1" t="s">
        <v>81</v>
      </c>
      <c r="P28" s="1" t="s">
        <v>82</v>
      </c>
      <c r="Q28" s="1" t="s">
        <v>55</v>
      </c>
      <c r="R28" s="1" t="s">
        <v>56</v>
      </c>
      <c r="S28" s="1" t="s">
        <v>10</v>
      </c>
      <c r="T28" s="8"/>
      <c r="U28" s="8"/>
      <c r="V28" s="1" t="s">
        <v>138</v>
      </c>
    </row>
    <row r="29" spans="1:22" ht="30" hidden="1" x14ac:dyDescent="0.25">
      <c r="A29" s="1" t="s">
        <v>139</v>
      </c>
      <c r="B29" s="1" t="s">
        <v>44</v>
      </c>
      <c r="C29" s="1" t="s">
        <v>45</v>
      </c>
      <c r="D29" s="1" t="s">
        <v>140</v>
      </c>
      <c r="E29" s="1" t="s">
        <v>92</v>
      </c>
      <c r="F29" s="1" t="s">
        <v>48</v>
      </c>
      <c r="G29" s="1" t="s">
        <v>117</v>
      </c>
      <c r="H29" s="7" t="s">
        <v>51</v>
      </c>
      <c r="I29" s="7" t="s">
        <v>50</v>
      </c>
      <c r="J29" s="7" t="s">
        <v>50</v>
      </c>
      <c r="K29" s="7" t="s">
        <v>51</v>
      </c>
      <c r="L29" s="1">
        <v>0</v>
      </c>
      <c r="M29" s="1"/>
      <c r="N29" s="1" t="s">
        <v>52</v>
      </c>
      <c r="O29" s="1" t="s">
        <v>81</v>
      </c>
      <c r="P29" s="1" t="s">
        <v>82</v>
      </c>
      <c r="Q29" s="1" t="s">
        <v>55</v>
      </c>
      <c r="R29" s="1" t="s">
        <v>56</v>
      </c>
      <c r="S29" s="1" t="s">
        <v>10</v>
      </c>
      <c r="T29" s="8"/>
      <c r="U29" s="8"/>
      <c r="V29" s="1"/>
    </row>
    <row r="30" spans="1:22" ht="120" hidden="1" x14ac:dyDescent="0.25">
      <c r="A30" s="1" t="s">
        <v>141</v>
      </c>
      <c r="B30" s="1" t="s">
        <v>44</v>
      </c>
      <c r="C30" s="1" t="s">
        <v>45</v>
      </c>
      <c r="D30" s="1" t="s">
        <v>142</v>
      </c>
      <c r="E30" s="1" t="s">
        <v>92</v>
      </c>
      <c r="F30" s="1" t="s">
        <v>48</v>
      </c>
      <c r="G30" s="1" t="s">
        <v>117</v>
      </c>
      <c r="H30" s="7" t="s">
        <v>50</v>
      </c>
      <c r="I30" s="7" t="s">
        <v>50</v>
      </c>
      <c r="J30" s="7" t="s">
        <v>50</v>
      </c>
      <c r="K30" s="7" t="s">
        <v>51</v>
      </c>
      <c r="L30" s="1">
        <v>2</v>
      </c>
      <c r="M30" s="1"/>
      <c r="N30" s="1" t="s">
        <v>52</v>
      </c>
      <c r="O30" s="1" t="s">
        <v>81</v>
      </c>
      <c r="P30" s="1" t="s">
        <v>82</v>
      </c>
      <c r="Q30" s="1" t="s">
        <v>55</v>
      </c>
      <c r="R30" s="1" t="s">
        <v>56</v>
      </c>
      <c r="S30" s="1" t="s">
        <v>10</v>
      </c>
      <c r="T30" s="8"/>
      <c r="U30" s="8"/>
      <c r="V30" s="1" t="s">
        <v>143</v>
      </c>
    </row>
    <row r="31" spans="1:22" ht="120" hidden="1" x14ac:dyDescent="0.25">
      <c r="A31" s="1" t="s">
        <v>144</v>
      </c>
      <c r="B31" s="1" t="s">
        <v>44</v>
      </c>
      <c r="C31" s="1" t="s">
        <v>45</v>
      </c>
      <c r="D31" s="1" t="s">
        <v>145</v>
      </c>
      <c r="E31" s="1" t="s">
        <v>92</v>
      </c>
      <c r="F31" s="1" t="s">
        <v>48</v>
      </c>
      <c r="G31" s="1" t="s">
        <v>117</v>
      </c>
      <c r="H31" s="7" t="s">
        <v>50</v>
      </c>
      <c r="I31" s="7" t="s">
        <v>50</v>
      </c>
      <c r="J31" s="7" t="s">
        <v>50</v>
      </c>
      <c r="K31" s="7" t="s">
        <v>51</v>
      </c>
      <c r="L31" s="1">
        <v>2</v>
      </c>
      <c r="M31" s="1"/>
      <c r="N31" s="1" t="s">
        <v>52</v>
      </c>
      <c r="O31" s="1" t="s">
        <v>81</v>
      </c>
      <c r="P31" s="1" t="s">
        <v>82</v>
      </c>
      <c r="Q31" s="1" t="s">
        <v>55</v>
      </c>
      <c r="R31" s="1" t="s">
        <v>56</v>
      </c>
      <c r="S31" s="1" t="s">
        <v>10</v>
      </c>
      <c r="T31" s="8"/>
      <c r="U31" s="8"/>
      <c r="V31" s="1" t="s">
        <v>146</v>
      </c>
    </row>
    <row r="32" spans="1:22" ht="60" hidden="1" x14ac:dyDescent="0.25">
      <c r="A32" s="1" t="s">
        <v>147</v>
      </c>
      <c r="B32" s="1" t="s">
        <v>44</v>
      </c>
      <c r="C32" s="1" t="s">
        <v>45</v>
      </c>
      <c r="D32" s="1" t="s">
        <v>148</v>
      </c>
      <c r="E32" s="1" t="s">
        <v>92</v>
      </c>
      <c r="F32" s="1" t="s">
        <v>48</v>
      </c>
      <c r="G32" s="1" t="s">
        <v>98</v>
      </c>
      <c r="H32" s="7" t="s">
        <v>50</v>
      </c>
      <c r="I32" s="7" t="s">
        <v>50</v>
      </c>
      <c r="J32" s="7" t="s">
        <v>50</v>
      </c>
      <c r="K32" s="7" t="s">
        <v>51</v>
      </c>
      <c r="L32" s="1">
        <v>1</v>
      </c>
      <c r="M32" s="1"/>
      <c r="N32" s="1" t="s">
        <v>52</v>
      </c>
      <c r="O32" s="1" t="s">
        <v>81</v>
      </c>
      <c r="P32" s="1" t="s">
        <v>82</v>
      </c>
      <c r="Q32" s="1" t="s">
        <v>55</v>
      </c>
      <c r="R32" s="1" t="s">
        <v>56</v>
      </c>
      <c r="S32" s="1" t="s">
        <v>10</v>
      </c>
      <c r="T32" s="8"/>
      <c r="U32" s="8"/>
      <c r="V32" s="1" t="s">
        <v>149</v>
      </c>
    </row>
    <row r="33" spans="1:22" ht="30" hidden="1" x14ac:dyDescent="0.25">
      <c r="A33" s="1" t="s">
        <v>150</v>
      </c>
      <c r="B33" s="1" t="s">
        <v>44</v>
      </c>
      <c r="C33" s="1" t="s">
        <v>45</v>
      </c>
      <c r="D33" s="1" t="s">
        <v>151</v>
      </c>
      <c r="E33" s="1" t="s">
        <v>92</v>
      </c>
      <c r="F33" s="1" t="s">
        <v>48</v>
      </c>
      <c r="G33" s="1" t="s">
        <v>102</v>
      </c>
      <c r="H33" s="7" t="s">
        <v>51</v>
      </c>
      <c r="I33" s="7" t="s">
        <v>50</v>
      </c>
      <c r="J33" s="7" t="s">
        <v>50</v>
      </c>
      <c r="K33" s="7" t="s">
        <v>51</v>
      </c>
      <c r="L33" s="1">
        <v>0</v>
      </c>
      <c r="M33" s="1"/>
      <c r="N33" s="1" t="s">
        <v>52</v>
      </c>
      <c r="O33" s="1" t="s">
        <v>81</v>
      </c>
      <c r="P33" s="1" t="s">
        <v>82</v>
      </c>
      <c r="Q33" s="1" t="s">
        <v>55</v>
      </c>
      <c r="R33" s="1" t="s">
        <v>56</v>
      </c>
      <c r="S33" s="1" t="s">
        <v>10</v>
      </c>
      <c r="T33" s="8"/>
      <c r="U33" s="8"/>
      <c r="V33" s="1"/>
    </row>
    <row r="34" spans="1:22" ht="105" hidden="1" x14ac:dyDescent="0.25">
      <c r="A34" s="1" t="s">
        <v>152</v>
      </c>
      <c r="B34" s="1" t="s">
        <v>44</v>
      </c>
      <c r="C34" s="1" t="s">
        <v>45</v>
      </c>
      <c r="D34" s="1" t="s">
        <v>153</v>
      </c>
      <c r="E34" s="1" t="s">
        <v>92</v>
      </c>
      <c r="F34" s="1" t="s">
        <v>48</v>
      </c>
      <c r="G34" s="1" t="s">
        <v>98</v>
      </c>
      <c r="H34" s="7" t="s">
        <v>50</v>
      </c>
      <c r="I34" s="7" t="s">
        <v>50</v>
      </c>
      <c r="J34" s="7" t="s">
        <v>50</v>
      </c>
      <c r="K34" s="7" t="s">
        <v>51</v>
      </c>
      <c r="L34" s="1">
        <v>3</v>
      </c>
      <c r="M34" s="1"/>
      <c r="N34" s="1" t="s">
        <v>52</v>
      </c>
      <c r="O34" s="1" t="s">
        <v>81</v>
      </c>
      <c r="P34" s="1" t="s">
        <v>82</v>
      </c>
      <c r="Q34" s="1" t="s">
        <v>55</v>
      </c>
      <c r="R34" s="1" t="s">
        <v>56</v>
      </c>
      <c r="S34" s="1" t="s">
        <v>10</v>
      </c>
      <c r="T34" s="8"/>
      <c r="U34" s="8"/>
      <c r="V34" s="1" t="s">
        <v>154</v>
      </c>
    </row>
    <row r="35" spans="1:22" ht="60" hidden="1" x14ac:dyDescent="0.25">
      <c r="A35" s="1" t="s">
        <v>155</v>
      </c>
      <c r="B35" s="1" t="s">
        <v>44</v>
      </c>
      <c r="C35" s="1" t="s">
        <v>45</v>
      </c>
      <c r="D35" s="1" t="s">
        <v>156</v>
      </c>
      <c r="E35" s="1" t="s">
        <v>92</v>
      </c>
      <c r="F35" s="1" t="s">
        <v>48</v>
      </c>
      <c r="G35" s="1" t="s">
        <v>98</v>
      </c>
      <c r="H35" s="7" t="s">
        <v>50</v>
      </c>
      <c r="I35" s="7" t="s">
        <v>50</v>
      </c>
      <c r="J35" s="7" t="s">
        <v>51</v>
      </c>
      <c r="K35" s="7" t="s">
        <v>51</v>
      </c>
      <c r="L35" s="1">
        <v>1</v>
      </c>
      <c r="M35" s="1" t="s">
        <v>157</v>
      </c>
      <c r="N35" s="1" t="s">
        <v>52</v>
      </c>
      <c r="O35" s="1" t="s">
        <v>81</v>
      </c>
      <c r="P35" s="1" t="s">
        <v>82</v>
      </c>
      <c r="Q35" s="1" t="s">
        <v>55</v>
      </c>
      <c r="R35" s="1" t="s">
        <v>94</v>
      </c>
      <c r="S35" s="1" t="s">
        <v>18</v>
      </c>
      <c r="T35" s="8"/>
      <c r="U35" s="8"/>
      <c r="V35" s="1" t="s">
        <v>158</v>
      </c>
    </row>
    <row r="36" spans="1:22" ht="120" hidden="1" x14ac:dyDescent="0.25">
      <c r="A36" s="1" t="s">
        <v>159</v>
      </c>
      <c r="B36" s="1" t="s">
        <v>44</v>
      </c>
      <c r="C36" s="1" t="s">
        <v>45</v>
      </c>
      <c r="D36" s="1" t="s">
        <v>160</v>
      </c>
      <c r="E36" s="1" t="s">
        <v>92</v>
      </c>
      <c r="F36" s="1" t="s">
        <v>48</v>
      </c>
      <c r="G36" s="1" t="s">
        <v>66</v>
      </c>
      <c r="H36" s="7" t="s">
        <v>50</v>
      </c>
      <c r="I36" s="7" t="s">
        <v>50</v>
      </c>
      <c r="J36" s="7" t="s">
        <v>50</v>
      </c>
      <c r="K36" s="7" t="s">
        <v>51</v>
      </c>
      <c r="L36" s="1">
        <v>4</v>
      </c>
      <c r="M36" s="1"/>
      <c r="N36" s="1" t="s">
        <v>52</v>
      </c>
      <c r="O36" s="1" t="s">
        <v>161</v>
      </c>
      <c r="P36" s="1" t="s">
        <v>162</v>
      </c>
      <c r="Q36" s="1" t="s">
        <v>163</v>
      </c>
      <c r="R36" s="1" t="s">
        <v>164</v>
      </c>
      <c r="S36" s="1" t="s">
        <v>12</v>
      </c>
      <c r="T36" s="8"/>
      <c r="U36" s="8"/>
      <c r="V36" s="1" t="s">
        <v>165</v>
      </c>
    </row>
    <row r="37" spans="1:22" ht="60" hidden="1" x14ac:dyDescent="0.25">
      <c r="A37" s="1" t="s">
        <v>166</v>
      </c>
      <c r="B37" s="1" t="s">
        <v>44</v>
      </c>
      <c r="C37" s="1" t="s">
        <v>45</v>
      </c>
      <c r="D37" s="1" t="s">
        <v>167</v>
      </c>
      <c r="E37" s="1" t="s">
        <v>92</v>
      </c>
      <c r="F37" s="1" t="s">
        <v>48</v>
      </c>
      <c r="G37" s="1" t="s">
        <v>66</v>
      </c>
      <c r="H37" s="7" t="s">
        <v>50</v>
      </c>
      <c r="I37" s="7" t="s">
        <v>50</v>
      </c>
      <c r="J37" s="7" t="s">
        <v>50</v>
      </c>
      <c r="K37" s="7" t="s">
        <v>51</v>
      </c>
      <c r="L37" s="1">
        <v>1</v>
      </c>
      <c r="M37" s="1"/>
      <c r="N37" s="1" t="s">
        <v>77</v>
      </c>
      <c r="O37" s="1" t="s">
        <v>161</v>
      </c>
      <c r="P37" s="1" t="s">
        <v>162</v>
      </c>
      <c r="Q37" s="1" t="s">
        <v>163</v>
      </c>
      <c r="R37" s="1" t="s">
        <v>78</v>
      </c>
      <c r="S37" s="1" t="s">
        <v>16</v>
      </c>
      <c r="T37" s="8"/>
      <c r="U37" s="8"/>
      <c r="V37" s="1" t="s">
        <v>168</v>
      </c>
    </row>
    <row r="38" spans="1:22" ht="60" hidden="1" x14ac:dyDescent="0.25">
      <c r="A38" s="1" t="s">
        <v>169</v>
      </c>
      <c r="B38" s="1" t="s">
        <v>44</v>
      </c>
      <c r="C38" s="1" t="s">
        <v>45</v>
      </c>
      <c r="D38" s="1" t="s">
        <v>170</v>
      </c>
      <c r="E38" s="1" t="s">
        <v>92</v>
      </c>
      <c r="F38" s="1" t="s">
        <v>48</v>
      </c>
      <c r="G38" s="1" t="s">
        <v>66</v>
      </c>
      <c r="H38" s="7" t="s">
        <v>50</v>
      </c>
      <c r="I38" s="7" t="s">
        <v>50</v>
      </c>
      <c r="J38" s="7" t="s">
        <v>50</v>
      </c>
      <c r="K38" s="7" t="s">
        <v>51</v>
      </c>
      <c r="L38" s="1">
        <v>1</v>
      </c>
      <c r="M38" s="1"/>
      <c r="N38" s="1" t="s">
        <v>52</v>
      </c>
      <c r="O38" s="1" t="s">
        <v>171</v>
      </c>
      <c r="P38" s="1" t="s">
        <v>162</v>
      </c>
      <c r="Q38" s="1" t="s">
        <v>163</v>
      </c>
      <c r="R38" s="1" t="s">
        <v>164</v>
      </c>
      <c r="S38" s="1" t="s">
        <v>12</v>
      </c>
      <c r="T38" s="8"/>
      <c r="U38" s="8"/>
      <c r="V38" s="1" t="s">
        <v>172</v>
      </c>
    </row>
    <row r="39" spans="1:22" ht="120" hidden="1" x14ac:dyDescent="0.25">
      <c r="A39" s="1" t="s">
        <v>173</v>
      </c>
      <c r="B39" s="1" t="s">
        <v>44</v>
      </c>
      <c r="C39" s="1" t="s">
        <v>45</v>
      </c>
      <c r="D39" s="1" t="s">
        <v>174</v>
      </c>
      <c r="E39" s="1" t="s">
        <v>92</v>
      </c>
      <c r="F39" s="1" t="s">
        <v>48</v>
      </c>
      <c r="G39" s="1" t="s">
        <v>93</v>
      </c>
      <c r="H39" s="7" t="s">
        <v>50</v>
      </c>
      <c r="I39" s="7" t="s">
        <v>50</v>
      </c>
      <c r="J39" s="7" t="s">
        <v>50</v>
      </c>
      <c r="K39" s="7" t="s">
        <v>51</v>
      </c>
      <c r="L39" s="1">
        <v>2</v>
      </c>
      <c r="M39" s="1"/>
      <c r="N39" s="1" t="s">
        <v>52</v>
      </c>
      <c r="O39" s="1" t="s">
        <v>81</v>
      </c>
      <c r="P39" s="1" t="s">
        <v>82</v>
      </c>
      <c r="Q39" s="1" t="s">
        <v>55</v>
      </c>
      <c r="R39" s="1" t="s">
        <v>56</v>
      </c>
      <c r="S39" s="1" t="s">
        <v>10</v>
      </c>
      <c r="T39" s="8"/>
      <c r="U39" s="8"/>
      <c r="V39" s="1" t="s">
        <v>175</v>
      </c>
    </row>
    <row r="40" spans="1:22" ht="120" hidden="1" x14ac:dyDescent="0.25">
      <c r="A40" s="1" t="s">
        <v>176</v>
      </c>
      <c r="B40" s="1" t="s">
        <v>44</v>
      </c>
      <c r="C40" s="1" t="s">
        <v>45</v>
      </c>
      <c r="D40" s="1" t="s">
        <v>177</v>
      </c>
      <c r="E40" s="1" t="s">
        <v>178</v>
      </c>
      <c r="F40" s="1" t="s">
        <v>48</v>
      </c>
      <c r="G40" s="1" t="s">
        <v>179</v>
      </c>
      <c r="H40" s="7" t="s">
        <v>50</v>
      </c>
      <c r="I40" s="7" t="s">
        <v>50</v>
      </c>
      <c r="J40" s="7" t="s">
        <v>50</v>
      </c>
      <c r="K40" s="7" t="s">
        <v>51</v>
      </c>
      <c r="L40" s="1">
        <v>2</v>
      </c>
      <c r="M40" s="1"/>
      <c r="N40" s="1" t="s">
        <v>52</v>
      </c>
      <c r="O40" s="1" t="s">
        <v>81</v>
      </c>
      <c r="P40" s="1" t="s">
        <v>82</v>
      </c>
      <c r="Q40" s="1" t="s">
        <v>55</v>
      </c>
      <c r="R40" s="1" t="s">
        <v>56</v>
      </c>
      <c r="S40" s="1" t="s">
        <v>10</v>
      </c>
      <c r="T40" s="8"/>
      <c r="U40" s="8"/>
      <c r="V40" s="1" t="s">
        <v>180</v>
      </c>
    </row>
    <row r="41" spans="1:22" ht="30" hidden="1" x14ac:dyDescent="0.25">
      <c r="A41" s="1" t="s">
        <v>181</v>
      </c>
      <c r="B41" s="1" t="s">
        <v>44</v>
      </c>
      <c r="C41" s="1" t="s">
        <v>45</v>
      </c>
      <c r="D41" s="1" t="s">
        <v>182</v>
      </c>
      <c r="E41" s="1" t="s">
        <v>178</v>
      </c>
      <c r="F41" s="1" t="s">
        <v>48</v>
      </c>
      <c r="G41" s="1" t="s">
        <v>179</v>
      </c>
      <c r="H41" s="7" t="s">
        <v>51</v>
      </c>
      <c r="I41" s="7" t="s">
        <v>50</v>
      </c>
      <c r="J41" s="7" t="s">
        <v>50</v>
      </c>
      <c r="K41" s="7" t="s">
        <v>51</v>
      </c>
      <c r="L41" s="1">
        <v>0</v>
      </c>
      <c r="M41" s="1"/>
      <c r="N41" s="1" t="s">
        <v>52</v>
      </c>
      <c r="O41" s="1" t="s">
        <v>81</v>
      </c>
      <c r="P41" s="1" t="s">
        <v>82</v>
      </c>
      <c r="Q41" s="1" t="s">
        <v>55</v>
      </c>
      <c r="R41" s="1" t="s">
        <v>56</v>
      </c>
      <c r="S41" s="1" t="s">
        <v>10</v>
      </c>
      <c r="T41" s="8"/>
      <c r="U41" s="8"/>
      <c r="V41" s="1"/>
    </row>
    <row r="42" spans="1:22" ht="120" hidden="1" x14ac:dyDescent="0.25">
      <c r="A42" s="1" t="s">
        <v>183</v>
      </c>
      <c r="B42" s="1" t="s">
        <v>44</v>
      </c>
      <c r="C42" s="1" t="s">
        <v>45</v>
      </c>
      <c r="D42" s="1" t="s">
        <v>184</v>
      </c>
      <c r="E42" s="1" t="s">
        <v>178</v>
      </c>
      <c r="F42" s="1" t="s">
        <v>48</v>
      </c>
      <c r="G42" s="1" t="s">
        <v>179</v>
      </c>
      <c r="H42" s="7" t="s">
        <v>50</v>
      </c>
      <c r="I42" s="7" t="s">
        <v>50</v>
      </c>
      <c r="J42" s="7" t="s">
        <v>50</v>
      </c>
      <c r="K42" s="7" t="s">
        <v>51</v>
      </c>
      <c r="L42" s="1">
        <v>2</v>
      </c>
      <c r="M42" s="1"/>
      <c r="N42" s="1" t="s">
        <v>52</v>
      </c>
      <c r="O42" s="1" t="s">
        <v>81</v>
      </c>
      <c r="P42" s="1" t="s">
        <v>82</v>
      </c>
      <c r="Q42" s="1" t="s">
        <v>55</v>
      </c>
      <c r="R42" s="1" t="s">
        <v>56</v>
      </c>
      <c r="S42" s="1" t="s">
        <v>10</v>
      </c>
      <c r="T42" s="8"/>
      <c r="U42" s="8"/>
      <c r="V42" s="1" t="s">
        <v>185</v>
      </c>
    </row>
    <row r="43" spans="1:22" ht="30" hidden="1" x14ac:dyDescent="0.25">
      <c r="A43" s="1" t="s">
        <v>186</v>
      </c>
      <c r="B43" s="1" t="s">
        <v>44</v>
      </c>
      <c r="C43" s="1" t="s">
        <v>45</v>
      </c>
      <c r="D43" s="1" t="s">
        <v>187</v>
      </c>
      <c r="E43" s="1" t="s">
        <v>178</v>
      </c>
      <c r="F43" s="1" t="s">
        <v>48</v>
      </c>
      <c r="G43" s="1" t="s">
        <v>179</v>
      </c>
      <c r="H43" s="7" t="s">
        <v>51</v>
      </c>
      <c r="I43" s="7" t="s">
        <v>50</v>
      </c>
      <c r="J43" s="7" t="s">
        <v>50</v>
      </c>
      <c r="K43" s="7" t="s">
        <v>51</v>
      </c>
      <c r="L43" s="1">
        <v>0</v>
      </c>
      <c r="M43" s="1"/>
      <c r="N43" s="1" t="s">
        <v>52</v>
      </c>
      <c r="O43" s="1" t="s">
        <v>81</v>
      </c>
      <c r="P43" s="1" t="s">
        <v>82</v>
      </c>
      <c r="Q43" s="1" t="s">
        <v>55</v>
      </c>
      <c r="R43" s="1" t="s">
        <v>56</v>
      </c>
      <c r="S43" s="1" t="s">
        <v>10</v>
      </c>
      <c r="T43" s="8"/>
      <c r="U43" s="8"/>
      <c r="V43" s="1"/>
    </row>
    <row r="44" spans="1:22" ht="30" hidden="1" x14ac:dyDescent="0.25">
      <c r="A44" s="1" t="s">
        <v>188</v>
      </c>
      <c r="B44" s="1" t="s">
        <v>44</v>
      </c>
      <c r="C44" s="1" t="s">
        <v>45</v>
      </c>
      <c r="D44" s="1" t="s">
        <v>189</v>
      </c>
      <c r="E44" s="1" t="s">
        <v>178</v>
      </c>
      <c r="F44" s="1" t="s">
        <v>48</v>
      </c>
      <c r="G44" s="1" t="s">
        <v>66</v>
      </c>
      <c r="H44" s="7" t="s">
        <v>51</v>
      </c>
      <c r="I44" s="7" t="s">
        <v>50</v>
      </c>
      <c r="J44" s="7" t="s">
        <v>50</v>
      </c>
      <c r="K44" s="7" t="s">
        <v>51</v>
      </c>
      <c r="L44" s="1">
        <v>0</v>
      </c>
      <c r="M44" s="1"/>
      <c r="N44" s="1" t="s">
        <v>52</v>
      </c>
      <c r="O44" s="1" t="s">
        <v>53</v>
      </c>
      <c r="P44" s="1" t="s">
        <v>54</v>
      </c>
      <c r="Q44" s="1" t="s">
        <v>55</v>
      </c>
      <c r="R44" s="1" t="s">
        <v>56</v>
      </c>
      <c r="S44" s="1" t="s">
        <v>10</v>
      </c>
      <c r="T44" s="8"/>
      <c r="U44" s="8"/>
      <c r="V44" s="1"/>
    </row>
    <row r="45" spans="1:22" ht="120" hidden="1" x14ac:dyDescent="0.25">
      <c r="A45" s="1" t="s">
        <v>190</v>
      </c>
      <c r="B45" s="1" t="s">
        <v>44</v>
      </c>
      <c r="C45" s="1" t="s">
        <v>45</v>
      </c>
      <c r="D45" s="1" t="s">
        <v>191</v>
      </c>
      <c r="E45" s="1" t="s">
        <v>178</v>
      </c>
      <c r="F45" s="1" t="s">
        <v>48</v>
      </c>
      <c r="G45" s="1" t="s">
        <v>66</v>
      </c>
      <c r="H45" s="7" t="s">
        <v>50</v>
      </c>
      <c r="I45" s="7" t="s">
        <v>50</v>
      </c>
      <c r="J45" s="7" t="s">
        <v>50</v>
      </c>
      <c r="K45" s="7" t="s">
        <v>51</v>
      </c>
      <c r="L45" s="1">
        <v>4</v>
      </c>
      <c r="M45" s="1"/>
      <c r="N45" s="1" t="s">
        <v>52</v>
      </c>
      <c r="O45" s="1" t="s">
        <v>53</v>
      </c>
      <c r="P45" s="1" t="s">
        <v>54</v>
      </c>
      <c r="Q45" s="1" t="s">
        <v>55</v>
      </c>
      <c r="R45" s="1" t="s">
        <v>56</v>
      </c>
      <c r="S45" s="1" t="s">
        <v>10</v>
      </c>
      <c r="T45" s="8"/>
      <c r="U45" s="8"/>
      <c r="V45" s="1" t="s">
        <v>192</v>
      </c>
    </row>
    <row r="46" spans="1:22" ht="120" x14ac:dyDescent="0.25">
      <c r="A46" s="1" t="s">
        <v>193</v>
      </c>
      <c r="B46" s="1" t="s">
        <v>44</v>
      </c>
      <c r="C46" s="1" t="s">
        <v>45</v>
      </c>
      <c r="D46" s="1" t="s">
        <v>194</v>
      </c>
      <c r="E46" s="1" t="s">
        <v>47</v>
      </c>
      <c r="F46" s="1" t="s">
        <v>195</v>
      </c>
      <c r="G46" s="1" t="s">
        <v>49</v>
      </c>
      <c r="H46" s="7" t="s">
        <v>50</v>
      </c>
      <c r="I46" s="7" t="s">
        <v>50</v>
      </c>
      <c r="J46" s="7" t="s">
        <v>50</v>
      </c>
      <c r="K46" s="7" t="s">
        <v>51</v>
      </c>
      <c r="L46" s="1">
        <v>4</v>
      </c>
      <c r="M46" s="1"/>
      <c r="N46" s="1" t="s">
        <v>52</v>
      </c>
      <c r="O46" s="1" t="s">
        <v>53</v>
      </c>
      <c r="P46" s="1" t="s">
        <v>54</v>
      </c>
      <c r="Q46" s="1" t="s">
        <v>55</v>
      </c>
      <c r="R46" s="1" t="s">
        <v>56</v>
      </c>
      <c r="S46" s="1" t="s">
        <v>10</v>
      </c>
      <c r="T46" s="8"/>
      <c r="U46" s="8"/>
      <c r="V46" s="1" t="s">
        <v>196</v>
      </c>
    </row>
    <row r="47" spans="1:22" ht="30" hidden="1" x14ac:dyDescent="0.25">
      <c r="A47" s="1" t="s">
        <v>197</v>
      </c>
      <c r="B47" s="1" t="s">
        <v>44</v>
      </c>
      <c r="C47" s="1" t="s">
        <v>45</v>
      </c>
      <c r="D47" s="1" t="s">
        <v>198</v>
      </c>
      <c r="E47" s="1" t="s">
        <v>47</v>
      </c>
      <c r="F47" s="1" t="s">
        <v>195</v>
      </c>
      <c r="G47" s="1" t="s">
        <v>49</v>
      </c>
      <c r="H47" s="7" t="s">
        <v>51</v>
      </c>
      <c r="I47" s="7" t="s">
        <v>50</v>
      </c>
      <c r="J47" s="7" t="s">
        <v>50</v>
      </c>
      <c r="K47" s="7" t="s">
        <v>51</v>
      </c>
      <c r="L47" s="1">
        <v>0</v>
      </c>
      <c r="M47" s="1"/>
      <c r="N47" s="1" t="s">
        <v>52</v>
      </c>
      <c r="O47" s="1" t="s">
        <v>53</v>
      </c>
      <c r="P47" s="1" t="s">
        <v>54</v>
      </c>
      <c r="Q47" s="1" t="s">
        <v>55</v>
      </c>
      <c r="R47" s="1" t="s">
        <v>56</v>
      </c>
      <c r="S47" s="1" t="s">
        <v>10</v>
      </c>
      <c r="T47" s="8"/>
      <c r="U47" s="8"/>
      <c r="V47" s="1"/>
    </row>
    <row r="48" spans="1:22" ht="30" hidden="1" x14ac:dyDescent="0.25">
      <c r="A48" s="1" t="s">
        <v>199</v>
      </c>
      <c r="B48" s="1" t="s">
        <v>44</v>
      </c>
      <c r="C48" s="1" t="s">
        <v>45</v>
      </c>
      <c r="D48" s="1" t="s">
        <v>200</v>
      </c>
      <c r="E48" s="1" t="s">
        <v>47</v>
      </c>
      <c r="F48" s="1" t="s">
        <v>195</v>
      </c>
      <c r="G48" s="1" t="s">
        <v>49</v>
      </c>
      <c r="H48" s="7" t="s">
        <v>51</v>
      </c>
      <c r="I48" s="7" t="s">
        <v>50</v>
      </c>
      <c r="J48" s="7" t="s">
        <v>50</v>
      </c>
      <c r="K48" s="7" t="s">
        <v>51</v>
      </c>
      <c r="L48" s="1">
        <v>0</v>
      </c>
      <c r="M48" s="1"/>
      <c r="N48" s="1" t="s">
        <v>52</v>
      </c>
      <c r="O48" s="1" t="s">
        <v>53</v>
      </c>
      <c r="P48" s="1" t="s">
        <v>54</v>
      </c>
      <c r="Q48" s="1" t="s">
        <v>55</v>
      </c>
      <c r="R48" s="1" t="s">
        <v>56</v>
      </c>
      <c r="S48" s="1" t="s">
        <v>10</v>
      </c>
      <c r="T48" s="8"/>
      <c r="U48" s="8"/>
      <c r="V48" s="1"/>
    </row>
    <row r="49" spans="1:22" ht="30" hidden="1" x14ac:dyDescent="0.25">
      <c r="A49" s="1" t="s">
        <v>201</v>
      </c>
      <c r="B49" s="1" t="s">
        <v>44</v>
      </c>
      <c r="C49" s="1" t="s">
        <v>45</v>
      </c>
      <c r="D49" s="1" t="s">
        <v>202</v>
      </c>
      <c r="E49" s="1" t="s">
        <v>47</v>
      </c>
      <c r="F49" s="1" t="s">
        <v>195</v>
      </c>
      <c r="G49" s="1" t="s">
        <v>49</v>
      </c>
      <c r="H49" s="7" t="s">
        <v>51</v>
      </c>
      <c r="I49" s="7" t="s">
        <v>50</v>
      </c>
      <c r="J49" s="7" t="s">
        <v>50</v>
      </c>
      <c r="K49" s="7" t="s">
        <v>51</v>
      </c>
      <c r="L49" s="1">
        <v>0</v>
      </c>
      <c r="M49" s="1"/>
      <c r="N49" s="1" t="s">
        <v>52</v>
      </c>
      <c r="O49" s="1" t="s">
        <v>53</v>
      </c>
      <c r="P49" s="1" t="s">
        <v>54</v>
      </c>
      <c r="Q49" s="1" t="s">
        <v>55</v>
      </c>
      <c r="R49" s="1" t="s">
        <v>56</v>
      </c>
      <c r="S49" s="1" t="s">
        <v>10</v>
      </c>
      <c r="T49" s="8"/>
      <c r="U49" s="8"/>
      <c r="V49" s="1"/>
    </row>
    <row r="50" spans="1:22" ht="120" x14ac:dyDescent="0.25">
      <c r="A50" s="1" t="s">
        <v>203</v>
      </c>
      <c r="B50" s="1" t="s">
        <v>44</v>
      </c>
      <c r="C50" s="1" t="s">
        <v>45</v>
      </c>
      <c r="D50" s="1" t="s">
        <v>204</v>
      </c>
      <c r="E50" s="1" t="s">
        <v>47</v>
      </c>
      <c r="F50" s="1" t="s">
        <v>195</v>
      </c>
      <c r="G50" s="1" t="s">
        <v>62</v>
      </c>
      <c r="H50" s="7" t="s">
        <v>50</v>
      </c>
      <c r="I50" s="7" t="s">
        <v>50</v>
      </c>
      <c r="J50" s="7" t="s">
        <v>50</v>
      </c>
      <c r="K50" s="7" t="s">
        <v>51</v>
      </c>
      <c r="L50" s="1">
        <v>4</v>
      </c>
      <c r="M50" s="1"/>
      <c r="N50" s="1" t="s">
        <v>52</v>
      </c>
      <c r="O50" s="1" t="s">
        <v>53</v>
      </c>
      <c r="P50" s="1" t="s">
        <v>54</v>
      </c>
      <c r="Q50" s="1" t="s">
        <v>55</v>
      </c>
      <c r="R50" s="1" t="s">
        <v>56</v>
      </c>
      <c r="S50" s="1" t="s">
        <v>10</v>
      </c>
      <c r="T50" s="8"/>
      <c r="U50" s="8"/>
      <c r="V50" s="1" t="s">
        <v>205</v>
      </c>
    </row>
    <row r="51" spans="1:22" ht="120" x14ac:dyDescent="0.25">
      <c r="A51" s="1" t="s">
        <v>206</v>
      </c>
      <c r="B51" s="1" t="s">
        <v>44</v>
      </c>
      <c r="C51" s="1" t="s">
        <v>45</v>
      </c>
      <c r="D51" s="1" t="s">
        <v>207</v>
      </c>
      <c r="E51" s="1" t="s">
        <v>47</v>
      </c>
      <c r="F51" s="1" t="s">
        <v>195</v>
      </c>
      <c r="G51" s="1" t="s">
        <v>66</v>
      </c>
      <c r="H51" s="7" t="s">
        <v>50</v>
      </c>
      <c r="I51" s="7" t="s">
        <v>50</v>
      </c>
      <c r="J51" s="7" t="s">
        <v>50</v>
      </c>
      <c r="K51" s="7" t="s">
        <v>51</v>
      </c>
      <c r="L51" s="1">
        <v>2</v>
      </c>
      <c r="M51" s="1"/>
      <c r="N51" s="1" t="s">
        <v>52</v>
      </c>
      <c r="O51" s="1" t="s">
        <v>53</v>
      </c>
      <c r="P51" s="1" t="s">
        <v>54</v>
      </c>
      <c r="Q51" s="1" t="s">
        <v>55</v>
      </c>
      <c r="R51" s="1" t="s">
        <v>56</v>
      </c>
      <c r="S51" s="1" t="s">
        <v>10</v>
      </c>
      <c r="T51" s="8"/>
      <c r="U51" s="8"/>
      <c r="V51" s="1" t="s">
        <v>208</v>
      </c>
    </row>
    <row r="52" spans="1:22" ht="30" hidden="1" x14ac:dyDescent="0.25">
      <c r="A52" s="1" t="s">
        <v>209</v>
      </c>
      <c r="B52" s="1" t="s">
        <v>44</v>
      </c>
      <c r="C52" s="1" t="s">
        <v>45</v>
      </c>
      <c r="D52" s="1" t="s">
        <v>210</v>
      </c>
      <c r="E52" s="1" t="s">
        <v>47</v>
      </c>
      <c r="F52" s="1" t="s">
        <v>195</v>
      </c>
      <c r="G52" s="1" t="s">
        <v>66</v>
      </c>
      <c r="H52" s="7" t="s">
        <v>51</v>
      </c>
      <c r="I52" s="7" t="s">
        <v>50</v>
      </c>
      <c r="J52" s="7" t="s">
        <v>50</v>
      </c>
      <c r="K52" s="7" t="s">
        <v>51</v>
      </c>
      <c r="L52" s="1">
        <v>0</v>
      </c>
      <c r="M52" s="1"/>
      <c r="N52" s="1" t="s">
        <v>52</v>
      </c>
      <c r="O52" s="1" t="s">
        <v>53</v>
      </c>
      <c r="P52" s="1" t="s">
        <v>54</v>
      </c>
      <c r="Q52" s="1" t="s">
        <v>55</v>
      </c>
      <c r="R52" s="1" t="s">
        <v>56</v>
      </c>
      <c r="S52" s="1" t="s">
        <v>10</v>
      </c>
      <c r="T52" s="8"/>
      <c r="U52" s="8"/>
      <c r="V52" s="1"/>
    </row>
    <row r="53" spans="1:22" ht="30" hidden="1" x14ac:dyDescent="0.25">
      <c r="A53" s="1" t="s">
        <v>211</v>
      </c>
      <c r="B53" s="1" t="s">
        <v>44</v>
      </c>
      <c r="C53" s="1" t="s">
        <v>45</v>
      </c>
      <c r="D53" s="1" t="s">
        <v>212</v>
      </c>
      <c r="E53" s="1" t="s">
        <v>47</v>
      </c>
      <c r="F53" s="1" t="s">
        <v>195</v>
      </c>
      <c r="G53" s="1" t="s">
        <v>66</v>
      </c>
      <c r="H53" s="7" t="s">
        <v>51</v>
      </c>
      <c r="I53" s="7" t="s">
        <v>50</v>
      </c>
      <c r="J53" s="7" t="s">
        <v>50</v>
      </c>
      <c r="K53" s="7" t="s">
        <v>51</v>
      </c>
      <c r="L53" s="1">
        <v>0</v>
      </c>
      <c r="M53" s="1"/>
      <c r="N53" s="1" t="s">
        <v>52</v>
      </c>
      <c r="O53" s="1" t="s">
        <v>53</v>
      </c>
      <c r="P53" s="1" t="s">
        <v>54</v>
      </c>
      <c r="Q53" s="1" t="s">
        <v>55</v>
      </c>
      <c r="R53" s="1" t="s">
        <v>56</v>
      </c>
      <c r="S53" s="1" t="s">
        <v>10</v>
      </c>
      <c r="T53" s="8"/>
      <c r="U53" s="8"/>
      <c r="V53" s="1"/>
    </row>
    <row r="54" spans="1:22" ht="30" hidden="1" x14ac:dyDescent="0.25">
      <c r="A54" s="1" t="s">
        <v>213</v>
      </c>
      <c r="B54" s="1" t="s">
        <v>44</v>
      </c>
      <c r="C54" s="1" t="s">
        <v>45</v>
      </c>
      <c r="D54" s="1" t="s">
        <v>214</v>
      </c>
      <c r="E54" s="1" t="s">
        <v>47</v>
      </c>
      <c r="F54" s="1" t="s">
        <v>195</v>
      </c>
      <c r="G54" s="1" t="s">
        <v>66</v>
      </c>
      <c r="H54" s="7" t="s">
        <v>51</v>
      </c>
      <c r="I54" s="7" t="s">
        <v>50</v>
      </c>
      <c r="J54" s="7" t="s">
        <v>51</v>
      </c>
      <c r="K54" s="7" t="s">
        <v>51</v>
      </c>
      <c r="L54" s="1">
        <v>0</v>
      </c>
      <c r="M54" s="1"/>
      <c r="N54" s="1" t="s">
        <v>52</v>
      </c>
      <c r="O54" s="1" t="s">
        <v>53</v>
      </c>
      <c r="P54" s="1" t="s">
        <v>54</v>
      </c>
      <c r="Q54" s="1" t="s">
        <v>55</v>
      </c>
      <c r="R54" s="1" t="s">
        <v>94</v>
      </c>
      <c r="S54" s="1" t="s">
        <v>18</v>
      </c>
      <c r="T54" s="8"/>
      <c r="U54" s="8"/>
      <c r="V54" s="1"/>
    </row>
    <row r="55" spans="1:22" ht="120" x14ac:dyDescent="0.25">
      <c r="A55" s="1" t="s">
        <v>215</v>
      </c>
      <c r="B55" s="1" t="s">
        <v>44</v>
      </c>
      <c r="C55" s="1" t="s">
        <v>45</v>
      </c>
      <c r="D55" s="1" t="s">
        <v>216</v>
      </c>
      <c r="E55" s="1" t="s">
        <v>47</v>
      </c>
      <c r="F55" s="1" t="s">
        <v>195</v>
      </c>
      <c r="G55" s="1" t="s">
        <v>66</v>
      </c>
      <c r="H55" s="7" t="s">
        <v>50</v>
      </c>
      <c r="I55" s="7" t="s">
        <v>50</v>
      </c>
      <c r="J55" s="7" t="s">
        <v>50</v>
      </c>
      <c r="K55" s="7" t="s">
        <v>51</v>
      </c>
      <c r="L55" s="1">
        <v>4</v>
      </c>
      <c r="M55" s="1"/>
      <c r="N55" s="1" t="s">
        <v>52</v>
      </c>
      <c r="O55" s="1" t="s">
        <v>53</v>
      </c>
      <c r="P55" s="1" t="s">
        <v>54</v>
      </c>
      <c r="Q55" s="1" t="s">
        <v>55</v>
      </c>
      <c r="R55" s="1" t="s">
        <v>56</v>
      </c>
      <c r="S55" s="1" t="s">
        <v>10</v>
      </c>
      <c r="T55" s="8"/>
      <c r="U55" s="8"/>
      <c r="V55" s="1" t="s">
        <v>217</v>
      </c>
    </row>
    <row r="56" spans="1:22" ht="30" hidden="1" x14ac:dyDescent="0.25">
      <c r="A56" s="1" t="s">
        <v>218</v>
      </c>
      <c r="B56" s="1" t="s">
        <v>44</v>
      </c>
      <c r="C56" s="1" t="s">
        <v>45</v>
      </c>
      <c r="D56" s="1" t="s">
        <v>219</v>
      </c>
      <c r="E56" s="1" t="s">
        <v>47</v>
      </c>
      <c r="F56" s="1" t="s">
        <v>195</v>
      </c>
      <c r="G56" s="1" t="s">
        <v>66</v>
      </c>
      <c r="H56" s="7" t="s">
        <v>51</v>
      </c>
      <c r="I56" s="7" t="s">
        <v>50</v>
      </c>
      <c r="J56" s="7" t="s">
        <v>50</v>
      </c>
      <c r="K56" s="7" t="s">
        <v>51</v>
      </c>
      <c r="L56" s="1">
        <v>0</v>
      </c>
      <c r="M56" s="1"/>
      <c r="N56" s="1" t="s">
        <v>52</v>
      </c>
      <c r="O56" s="1" t="s">
        <v>53</v>
      </c>
      <c r="P56" s="1" t="s">
        <v>54</v>
      </c>
      <c r="Q56" s="1" t="s">
        <v>55</v>
      </c>
      <c r="R56" s="1" t="s">
        <v>56</v>
      </c>
      <c r="S56" s="1" t="s">
        <v>10</v>
      </c>
      <c r="T56" s="8"/>
      <c r="U56" s="8"/>
      <c r="V56" s="1"/>
    </row>
    <row r="57" spans="1:22" ht="30" hidden="1" x14ac:dyDescent="0.25">
      <c r="A57" s="1" t="s">
        <v>220</v>
      </c>
      <c r="B57" s="1" t="s">
        <v>44</v>
      </c>
      <c r="C57" s="1" t="s">
        <v>45</v>
      </c>
      <c r="D57" s="1" t="s">
        <v>221</v>
      </c>
      <c r="E57" s="1" t="s">
        <v>47</v>
      </c>
      <c r="F57" s="1" t="s">
        <v>195</v>
      </c>
      <c r="G57" s="1" t="s">
        <v>66</v>
      </c>
      <c r="H57" s="7" t="s">
        <v>51</v>
      </c>
      <c r="I57" s="7" t="s">
        <v>50</v>
      </c>
      <c r="J57" s="7" t="s">
        <v>50</v>
      </c>
      <c r="K57" s="7" t="s">
        <v>51</v>
      </c>
      <c r="L57" s="1">
        <v>0</v>
      </c>
      <c r="M57" s="1"/>
      <c r="N57" s="1" t="s">
        <v>52</v>
      </c>
      <c r="O57" s="1" t="s">
        <v>53</v>
      </c>
      <c r="P57" s="1" t="s">
        <v>54</v>
      </c>
      <c r="Q57" s="1" t="s">
        <v>55</v>
      </c>
      <c r="R57" s="1" t="s">
        <v>56</v>
      </c>
      <c r="S57" s="1" t="s">
        <v>10</v>
      </c>
      <c r="T57" s="8"/>
      <c r="U57" s="8"/>
      <c r="V57" s="1"/>
    </row>
    <row r="58" spans="1:22" ht="30" hidden="1" x14ac:dyDescent="0.25">
      <c r="A58" s="1" t="s">
        <v>222</v>
      </c>
      <c r="B58" s="1" t="s">
        <v>44</v>
      </c>
      <c r="C58" s="1" t="s">
        <v>45</v>
      </c>
      <c r="D58" s="1" t="s">
        <v>223</v>
      </c>
      <c r="E58" s="1" t="s">
        <v>47</v>
      </c>
      <c r="F58" s="1" t="s">
        <v>195</v>
      </c>
      <c r="G58" s="1" t="s">
        <v>66</v>
      </c>
      <c r="H58" s="7" t="s">
        <v>51</v>
      </c>
      <c r="I58" s="7" t="s">
        <v>50</v>
      </c>
      <c r="J58" s="7" t="s">
        <v>50</v>
      </c>
      <c r="K58" s="7" t="s">
        <v>51</v>
      </c>
      <c r="L58" s="1">
        <v>0</v>
      </c>
      <c r="M58" s="1"/>
      <c r="N58" s="1" t="s">
        <v>52</v>
      </c>
      <c r="O58" s="1" t="s">
        <v>81</v>
      </c>
      <c r="P58" s="1" t="s">
        <v>82</v>
      </c>
      <c r="Q58" s="1" t="s">
        <v>55</v>
      </c>
      <c r="R58" s="1" t="s">
        <v>56</v>
      </c>
      <c r="S58" s="1" t="s">
        <v>10</v>
      </c>
      <c r="T58" s="8"/>
      <c r="U58" s="8"/>
      <c r="V58" s="1"/>
    </row>
    <row r="59" spans="1:22" ht="30" hidden="1" x14ac:dyDescent="0.25">
      <c r="A59" s="1" t="s">
        <v>224</v>
      </c>
      <c r="B59" s="1" t="s">
        <v>44</v>
      </c>
      <c r="C59" s="1" t="s">
        <v>45</v>
      </c>
      <c r="D59" s="1" t="s">
        <v>225</v>
      </c>
      <c r="E59" s="1" t="s">
        <v>47</v>
      </c>
      <c r="F59" s="1" t="s">
        <v>195</v>
      </c>
      <c r="G59" s="1" t="s">
        <v>66</v>
      </c>
      <c r="H59" s="7" t="s">
        <v>51</v>
      </c>
      <c r="I59" s="7" t="s">
        <v>50</v>
      </c>
      <c r="J59" s="7" t="s">
        <v>50</v>
      </c>
      <c r="K59" s="7" t="s">
        <v>51</v>
      </c>
      <c r="L59" s="1">
        <v>0</v>
      </c>
      <c r="M59" s="1"/>
      <c r="N59" s="1" t="s">
        <v>52</v>
      </c>
      <c r="O59" s="1" t="s">
        <v>81</v>
      </c>
      <c r="P59" s="1" t="s">
        <v>82</v>
      </c>
      <c r="Q59" s="1" t="s">
        <v>55</v>
      </c>
      <c r="R59" s="1" t="s">
        <v>56</v>
      </c>
      <c r="S59" s="1" t="s">
        <v>10</v>
      </c>
      <c r="T59" s="8"/>
      <c r="U59" s="8"/>
      <c r="V59" s="1"/>
    </row>
    <row r="60" spans="1:22" ht="30" hidden="1" x14ac:dyDescent="0.25">
      <c r="A60" s="1" t="s">
        <v>226</v>
      </c>
      <c r="B60" s="1" t="s">
        <v>44</v>
      </c>
      <c r="C60" s="1" t="s">
        <v>45</v>
      </c>
      <c r="D60" s="1" t="s">
        <v>227</v>
      </c>
      <c r="E60" s="1" t="s">
        <v>47</v>
      </c>
      <c r="F60" s="1" t="s">
        <v>195</v>
      </c>
      <c r="G60" s="1" t="s">
        <v>66</v>
      </c>
      <c r="H60" s="7" t="s">
        <v>51</v>
      </c>
      <c r="I60" s="7" t="s">
        <v>50</v>
      </c>
      <c r="J60" s="7" t="s">
        <v>50</v>
      </c>
      <c r="K60" s="7" t="s">
        <v>51</v>
      </c>
      <c r="L60" s="1">
        <v>0</v>
      </c>
      <c r="M60" s="1"/>
      <c r="N60" s="1" t="s">
        <v>52</v>
      </c>
      <c r="O60" s="1" t="s">
        <v>81</v>
      </c>
      <c r="P60" s="1" t="s">
        <v>82</v>
      </c>
      <c r="Q60" s="1" t="s">
        <v>55</v>
      </c>
      <c r="R60" s="1" t="s">
        <v>56</v>
      </c>
      <c r="S60" s="1" t="s">
        <v>10</v>
      </c>
      <c r="T60" s="8"/>
      <c r="U60" s="8"/>
      <c r="V60" s="1"/>
    </row>
    <row r="61" spans="1:22" ht="120" x14ac:dyDescent="0.25">
      <c r="A61" s="1" t="s">
        <v>228</v>
      </c>
      <c r="B61" s="1" t="s">
        <v>44</v>
      </c>
      <c r="C61" s="1" t="s">
        <v>45</v>
      </c>
      <c r="D61" s="1" t="s">
        <v>229</v>
      </c>
      <c r="E61" s="1" t="s">
        <v>47</v>
      </c>
      <c r="F61" s="1" t="s">
        <v>195</v>
      </c>
      <c r="G61" s="1" t="s">
        <v>66</v>
      </c>
      <c r="H61" s="7" t="s">
        <v>50</v>
      </c>
      <c r="I61" s="7" t="s">
        <v>50</v>
      </c>
      <c r="J61" s="7" t="s">
        <v>50</v>
      </c>
      <c r="K61" s="7" t="s">
        <v>51</v>
      </c>
      <c r="L61" s="1">
        <v>4</v>
      </c>
      <c r="M61" s="1"/>
      <c r="N61" s="1" t="s">
        <v>52</v>
      </c>
      <c r="O61" s="1" t="s">
        <v>53</v>
      </c>
      <c r="P61" s="1" t="s">
        <v>54</v>
      </c>
      <c r="Q61" s="1" t="s">
        <v>55</v>
      </c>
      <c r="R61" s="1" t="s">
        <v>56</v>
      </c>
      <c r="S61" s="1" t="s">
        <v>10</v>
      </c>
      <c r="T61" s="8"/>
      <c r="U61" s="8"/>
      <c r="V61" s="1" t="s">
        <v>85</v>
      </c>
    </row>
    <row r="62" spans="1:22" ht="30" hidden="1" x14ac:dyDescent="0.25">
      <c r="A62" s="1" t="s">
        <v>230</v>
      </c>
      <c r="B62" s="1" t="s">
        <v>44</v>
      </c>
      <c r="C62" s="1" t="s">
        <v>45</v>
      </c>
      <c r="D62" s="1" t="s">
        <v>231</v>
      </c>
      <c r="E62" s="1" t="s">
        <v>47</v>
      </c>
      <c r="F62" s="1" t="s">
        <v>195</v>
      </c>
      <c r="G62" s="1" t="s">
        <v>66</v>
      </c>
      <c r="H62" s="7" t="s">
        <v>51</v>
      </c>
      <c r="I62" s="7" t="s">
        <v>50</v>
      </c>
      <c r="J62" s="7" t="s">
        <v>50</v>
      </c>
      <c r="K62" s="7" t="s">
        <v>51</v>
      </c>
      <c r="L62" s="1">
        <v>0</v>
      </c>
      <c r="M62" s="1"/>
      <c r="N62" s="1" t="s">
        <v>52</v>
      </c>
      <c r="O62" s="1" t="s">
        <v>53</v>
      </c>
      <c r="P62" s="1" t="s">
        <v>54</v>
      </c>
      <c r="Q62" s="1" t="s">
        <v>55</v>
      </c>
      <c r="R62" s="1" t="s">
        <v>56</v>
      </c>
      <c r="S62" s="1" t="s">
        <v>10</v>
      </c>
      <c r="T62" s="8"/>
      <c r="U62" s="8"/>
      <c r="V62" s="1"/>
    </row>
    <row r="63" spans="1:22" ht="30" hidden="1" x14ac:dyDescent="0.25">
      <c r="A63" s="1" t="s">
        <v>232</v>
      </c>
      <c r="B63" s="1" t="s">
        <v>44</v>
      </c>
      <c r="C63" s="1" t="s">
        <v>45</v>
      </c>
      <c r="D63" s="1" t="s">
        <v>233</v>
      </c>
      <c r="E63" s="1" t="s">
        <v>47</v>
      </c>
      <c r="F63" s="1" t="s">
        <v>195</v>
      </c>
      <c r="G63" s="1" t="s">
        <v>66</v>
      </c>
      <c r="H63" s="7" t="s">
        <v>51</v>
      </c>
      <c r="I63" s="7" t="s">
        <v>50</v>
      </c>
      <c r="J63" s="7" t="s">
        <v>50</v>
      </c>
      <c r="K63" s="7" t="s">
        <v>51</v>
      </c>
      <c r="L63" s="1">
        <v>0</v>
      </c>
      <c r="M63" s="1"/>
      <c r="N63" s="1" t="s">
        <v>52</v>
      </c>
      <c r="O63" s="1" t="s">
        <v>53</v>
      </c>
      <c r="P63" s="1" t="s">
        <v>54</v>
      </c>
      <c r="Q63" s="1" t="s">
        <v>55</v>
      </c>
      <c r="R63" s="1" t="s">
        <v>56</v>
      </c>
      <c r="S63" s="1" t="s">
        <v>10</v>
      </c>
      <c r="T63" s="8"/>
      <c r="U63" s="8"/>
      <c r="V63" s="1"/>
    </row>
    <row r="64" spans="1:22" ht="30" hidden="1" x14ac:dyDescent="0.25">
      <c r="A64" s="1" t="s">
        <v>234</v>
      </c>
      <c r="B64" s="1" t="s">
        <v>44</v>
      </c>
      <c r="C64" s="1" t="s">
        <v>45</v>
      </c>
      <c r="D64" s="1" t="s">
        <v>235</v>
      </c>
      <c r="E64" s="1" t="s">
        <v>47</v>
      </c>
      <c r="F64" s="1" t="s">
        <v>195</v>
      </c>
      <c r="G64" s="1" t="s">
        <v>66</v>
      </c>
      <c r="H64" s="7" t="s">
        <v>51</v>
      </c>
      <c r="I64" s="7" t="s">
        <v>50</v>
      </c>
      <c r="J64" s="7" t="s">
        <v>50</v>
      </c>
      <c r="K64" s="7" t="s">
        <v>51</v>
      </c>
      <c r="L64" s="1">
        <v>0</v>
      </c>
      <c r="M64" s="1"/>
      <c r="N64" s="1" t="s">
        <v>52</v>
      </c>
      <c r="O64" s="1" t="s">
        <v>53</v>
      </c>
      <c r="P64" s="1" t="s">
        <v>54</v>
      </c>
      <c r="Q64" s="1" t="s">
        <v>55</v>
      </c>
      <c r="R64" s="1" t="s">
        <v>56</v>
      </c>
      <c r="S64" s="1" t="s">
        <v>10</v>
      </c>
      <c r="T64" s="8"/>
      <c r="U64" s="8"/>
      <c r="V64" s="1"/>
    </row>
    <row r="65" spans="1:22" ht="120" x14ac:dyDescent="0.25">
      <c r="A65" s="1" t="s">
        <v>236</v>
      </c>
      <c r="B65" s="1" t="s">
        <v>44</v>
      </c>
      <c r="C65" s="1" t="s">
        <v>45</v>
      </c>
      <c r="D65" s="1" t="s">
        <v>237</v>
      </c>
      <c r="E65" s="1" t="s">
        <v>92</v>
      </c>
      <c r="F65" s="1" t="s">
        <v>195</v>
      </c>
      <c r="G65" s="1" t="s">
        <v>93</v>
      </c>
      <c r="H65" s="7" t="s">
        <v>50</v>
      </c>
      <c r="I65" s="7" t="s">
        <v>50</v>
      </c>
      <c r="J65" s="7" t="s">
        <v>50</v>
      </c>
      <c r="K65" s="7" t="s">
        <v>51</v>
      </c>
      <c r="L65" s="1">
        <v>3</v>
      </c>
      <c r="M65" s="1"/>
      <c r="N65" s="1" t="s">
        <v>52</v>
      </c>
      <c r="O65" s="1" t="s">
        <v>81</v>
      </c>
      <c r="P65" s="1" t="s">
        <v>82</v>
      </c>
      <c r="Q65" s="1" t="s">
        <v>55</v>
      </c>
      <c r="R65" s="1" t="s">
        <v>56</v>
      </c>
      <c r="S65" s="1" t="s">
        <v>10</v>
      </c>
      <c r="T65" s="8"/>
      <c r="U65" s="8"/>
      <c r="V65" s="1" t="s">
        <v>238</v>
      </c>
    </row>
    <row r="66" spans="1:22" ht="60" x14ac:dyDescent="0.25">
      <c r="A66" s="1" t="s">
        <v>239</v>
      </c>
      <c r="B66" s="1" t="s">
        <v>44</v>
      </c>
      <c r="C66" s="1" t="s">
        <v>45</v>
      </c>
      <c r="D66" s="1" t="s">
        <v>240</v>
      </c>
      <c r="E66" s="1" t="s">
        <v>92</v>
      </c>
      <c r="F66" s="1" t="s">
        <v>195</v>
      </c>
      <c r="G66" s="1" t="s">
        <v>98</v>
      </c>
      <c r="H66" s="7" t="s">
        <v>50</v>
      </c>
      <c r="I66" s="7" t="s">
        <v>50</v>
      </c>
      <c r="J66" s="7" t="s">
        <v>51</v>
      </c>
      <c r="K66" s="7" t="s">
        <v>51</v>
      </c>
      <c r="L66" s="1">
        <v>1</v>
      </c>
      <c r="M66" s="1"/>
      <c r="N66" s="1" t="s">
        <v>52</v>
      </c>
      <c r="O66" s="1" t="s">
        <v>81</v>
      </c>
      <c r="P66" s="1" t="s">
        <v>82</v>
      </c>
      <c r="Q66" s="1" t="s">
        <v>55</v>
      </c>
      <c r="R66" s="1" t="s">
        <v>94</v>
      </c>
      <c r="S66" s="1" t="s">
        <v>18</v>
      </c>
      <c r="T66" s="8"/>
      <c r="U66" s="8"/>
      <c r="V66" s="1" t="s">
        <v>241</v>
      </c>
    </row>
    <row r="67" spans="1:22" ht="30" hidden="1" x14ac:dyDescent="0.25">
      <c r="A67" s="1" t="s">
        <v>242</v>
      </c>
      <c r="B67" s="1" t="s">
        <v>44</v>
      </c>
      <c r="C67" s="1" t="s">
        <v>45</v>
      </c>
      <c r="D67" s="1" t="s">
        <v>243</v>
      </c>
      <c r="E67" s="1" t="s">
        <v>92</v>
      </c>
      <c r="F67" s="1" t="s">
        <v>195</v>
      </c>
      <c r="G67" s="1" t="s">
        <v>98</v>
      </c>
      <c r="H67" s="7" t="s">
        <v>51</v>
      </c>
      <c r="I67" s="7" t="s">
        <v>50</v>
      </c>
      <c r="J67" s="7" t="s">
        <v>51</v>
      </c>
      <c r="K67" s="7" t="s">
        <v>51</v>
      </c>
      <c r="L67" s="1">
        <v>0</v>
      </c>
      <c r="M67" s="1"/>
      <c r="N67" s="1" t="s">
        <v>77</v>
      </c>
      <c r="O67" s="1" t="s">
        <v>81</v>
      </c>
      <c r="P67" s="1" t="s">
        <v>82</v>
      </c>
      <c r="Q67" s="1" t="s">
        <v>55</v>
      </c>
      <c r="R67" s="1" t="s">
        <v>78</v>
      </c>
      <c r="S67" s="1" t="s">
        <v>16</v>
      </c>
      <c r="T67" s="8"/>
      <c r="U67" s="8"/>
      <c r="V67" s="1"/>
    </row>
    <row r="68" spans="1:22" ht="120" x14ac:dyDescent="0.25">
      <c r="A68" s="1" t="s">
        <v>244</v>
      </c>
      <c r="B68" s="1" t="s">
        <v>44</v>
      </c>
      <c r="C68" s="1" t="s">
        <v>45</v>
      </c>
      <c r="D68" s="1" t="s">
        <v>245</v>
      </c>
      <c r="E68" s="1" t="s">
        <v>92</v>
      </c>
      <c r="F68" s="1" t="s">
        <v>195</v>
      </c>
      <c r="G68" s="1" t="s">
        <v>117</v>
      </c>
      <c r="H68" s="7" t="s">
        <v>50</v>
      </c>
      <c r="I68" s="7" t="s">
        <v>51</v>
      </c>
      <c r="J68" s="7" t="s">
        <v>51</v>
      </c>
      <c r="K68" s="7" t="s">
        <v>51</v>
      </c>
      <c r="L68" s="1">
        <v>2</v>
      </c>
      <c r="M68" s="1"/>
      <c r="N68" s="1" t="s">
        <v>52</v>
      </c>
      <c r="O68" s="1" t="s">
        <v>81</v>
      </c>
      <c r="P68" s="1" t="s">
        <v>82</v>
      </c>
      <c r="Q68" s="1" t="s">
        <v>55</v>
      </c>
      <c r="R68" s="1" t="s">
        <v>94</v>
      </c>
      <c r="S68" s="1" t="s">
        <v>18</v>
      </c>
      <c r="T68" s="8"/>
      <c r="U68" s="8"/>
      <c r="V68" s="1" t="s">
        <v>246</v>
      </c>
    </row>
    <row r="69" spans="1:22" ht="120" x14ac:dyDescent="0.25">
      <c r="A69" s="1" t="s">
        <v>247</v>
      </c>
      <c r="B69" s="1" t="s">
        <v>44</v>
      </c>
      <c r="C69" s="1" t="s">
        <v>45</v>
      </c>
      <c r="D69" s="1" t="s">
        <v>248</v>
      </c>
      <c r="E69" s="1" t="s">
        <v>92</v>
      </c>
      <c r="F69" s="1" t="s">
        <v>195</v>
      </c>
      <c r="G69" s="1" t="s">
        <v>117</v>
      </c>
      <c r="H69" s="7" t="s">
        <v>50</v>
      </c>
      <c r="I69" s="7" t="s">
        <v>51</v>
      </c>
      <c r="J69" s="7" t="s">
        <v>51</v>
      </c>
      <c r="K69" s="7" t="s">
        <v>51</v>
      </c>
      <c r="L69" s="1">
        <v>2</v>
      </c>
      <c r="M69" s="1"/>
      <c r="N69" s="1" t="s">
        <v>77</v>
      </c>
      <c r="O69" s="1" t="s">
        <v>81</v>
      </c>
      <c r="P69" s="1" t="s">
        <v>82</v>
      </c>
      <c r="Q69" s="1" t="s">
        <v>55</v>
      </c>
      <c r="R69" s="1" t="s">
        <v>78</v>
      </c>
      <c r="S69" s="1" t="s">
        <v>16</v>
      </c>
      <c r="T69" s="8"/>
      <c r="U69" s="8"/>
      <c r="V69" s="1" t="s">
        <v>246</v>
      </c>
    </row>
    <row r="70" spans="1:22" ht="60" x14ac:dyDescent="0.25">
      <c r="A70" s="1" t="s">
        <v>249</v>
      </c>
      <c r="B70" s="1" t="s">
        <v>44</v>
      </c>
      <c r="C70" s="1" t="s">
        <v>45</v>
      </c>
      <c r="D70" s="1" t="s">
        <v>250</v>
      </c>
      <c r="E70" s="1" t="s">
        <v>92</v>
      </c>
      <c r="F70" s="1" t="s">
        <v>195</v>
      </c>
      <c r="G70" s="1" t="s">
        <v>117</v>
      </c>
      <c r="H70" s="7" t="s">
        <v>50</v>
      </c>
      <c r="I70" s="7" t="s">
        <v>51</v>
      </c>
      <c r="J70" s="7" t="s">
        <v>51</v>
      </c>
      <c r="K70" s="7" t="s">
        <v>51</v>
      </c>
      <c r="L70" s="1">
        <v>1</v>
      </c>
      <c r="M70" s="1"/>
      <c r="N70" s="1" t="s">
        <v>52</v>
      </c>
      <c r="O70" s="1" t="s">
        <v>81</v>
      </c>
      <c r="P70" s="1" t="s">
        <v>82</v>
      </c>
      <c r="Q70" s="1" t="s">
        <v>55</v>
      </c>
      <c r="R70" s="1" t="s">
        <v>94</v>
      </c>
      <c r="S70" s="1" t="s">
        <v>18</v>
      </c>
      <c r="T70" s="8"/>
      <c r="U70" s="8"/>
      <c r="V70" s="1" t="s">
        <v>251</v>
      </c>
    </row>
    <row r="71" spans="1:22" ht="30" hidden="1" x14ac:dyDescent="0.25">
      <c r="A71" s="1" t="s">
        <v>252</v>
      </c>
      <c r="B71" s="1" t="s">
        <v>44</v>
      </c>
      <c r="C71" s="1" t="s">
        <v>45</v>
      </c>
      <c r="D71" s="1" t="s">
        <v>253</v>
      </c>
      <c r="E71" s="1" t="s">
        <v>92</v>
      </c>
      <c r="F71" s="1" t="s">
        <v>195</v>
      </c>
      <c r="G71" s="1" t="s">
        <v>98</v>
      </c>
      <c r="H71" s="7" t="s">
        <v>51</v>
      </c>
      <c r="I71" s="7" t="s">
        <v>51</v>
      </c>
      <c r="J71" s="7" t="s">
        <v>51</v>
      </c>
      <c r="K71" s="7" t="s">
        <v>50</v>
      </c>
      <c r="L71" s="1">
        <v>0</v>
      </c>
      <c r="M71" s="1"/>
      <c r="N71" s="1" t="s">
        <v>52</v>
      </c>
      <c r="O71" s="1" t="s">
        <v>253</v>
      </c>
      <c r="P71" s="1" t="s">
        <v>254</v>
      </c>
      <c r="Q71" s="1" t="s">
        <v>255</v>
      </c>
      <c r="R71" s="1" t="s">
        <v>256</v>
      </c>
      <c r="S71" s="1" t="s">
        <v>14</v>
      </c>
      <c r="T71" s="8"/>
      <c r="U71" s="8"/>
      <c r="V71" s="1"/>
    </row>
    <row r="72" spans="1:22" ht="30" hidden="1" x14ac:dyDescent="0.25">
      <c r="A72" s="1" t="s">
        <v>257</v>
      </c>
      <c r="B72" s="1" t="s">
        <v>44</v>
      </c>
      <c r="C72" s="1" t="s">
        <v>45</v>
      </c>
      <c r="D72" s="1" t="s">
        <v>258</v>
      </c>
      <c r="E72" s="1" t="s">
        <v>92</v>
      </c>
      <c r="F72" s="1" t="s">
        <v>195</v>
      </c>
      <c r="G72" s="1" t="s">
        <v>98</v>
      </c>
      <c r="H72" s="7" t="s">
        <v>51</v>
      </c>
      <c r="I72" s="7" t="s">
        <v>50</v>
      </c>
      <c r="J72" s="7" t="s">
        <v>51</v>
      </c>
      <c r="K72" s="7" t="s">
        <v>50</v>
      </c>
      <c r="L72" s="1">
        <v>0</v>
      </c>
      <c r="M72" s="1"/>
      <c r="N72" s="1" t="s">
        <v>52</v>
      </c>
      <c r="O72" s="1" t="s">
        <v>258</v>
      </c>
      <c r="P72" s="1" t="s">
        <v>254</v>
      </c>
      <c r="Q72" s="1" t="s">
        <v>255</v>
      </c>
      <c r="R72" s="1" t="s">
        <v>256</v>
      </c>
      <c r="S72" s="1" t="s">
        <v>14</v>
      </c>
      <c r="T72" s="8"/>
      <c r="U72" s="8"/>
      <c r="V72" s="1"/>
    </row>
    <row r="73" spans="1:22" ht="120" x14ac:dyDescent="0.25">
      <c r="A73" s="1" t="s">
        <v>259</v>
      </c>
      <c r="B73" s="1" t="s">
        <v>44</v>
      </c>
      <c r="C73" s="1" t="s">
        <v>45</v>
      </c>
      <c r="D73" s="1" t="s">
        <v>260</v>
      </c>
      <c r="E73" s="1" t="s">
        <v>92</v>
      </c>
      <c r="F73" s="1" t="s">
        <v>195</v>
      </c>
      <c r="G73" s="1" t="s">
        <v>117</v>
      </c>
      <c r="H73" s="7" t="s">
        <v>50</v>
      </c>
      <c r="I73" s="7" t="s">
        <v>50</v>
      </c>
      <c r="J73" s="7" t="s">
        <v>50</v>
      </c>
      <c r="K73" s="7" t="s">
        <v>51</v>
      </c>
      <c r="L73" s="1">
        <v>2</v>
      </c>
      <c r="M73" s="1"/>
      <c r="N73" s="1" t="s">
        <v>52</v>
      </c>
      <c r="O73" s="1" t="s">
        <v>81</v>
      </c>
      <c r="P73" s="1" t="s">
        <v>82</v>
      </c>
      <c r="Q73" s="1" t="s">
        <v>55</v>
      </c>
      <c r="R73" s="1" t="s">
        <v>56</v>
      </c>
      <c r="S73" s="1" t="s">
        <v>10</v>
      </c>
      <c r="T73" s="8"/>
      <c r="U73" s="8"/>
      <c r="V73" s="1" t="s">
        <v>261</v>
      </c>
    </row>
    <row r="74" spans="1:22" ht="30" hidden="1" x14ac:dyDescent="0.25">
      <c r="A74" s="1" t="s">
        <v>262</v>
      </c>
      <c r="B74" s="1" t="s">
        <v>44</v>
      </c>
      <c r="C74" s="1" t="s">
        <v>45</v>
      </c>
      <c r="D74" s="1" t="s">
        <v>263</v>
      </c>
      <c r="E74" s="1" t="s">
        <v>92</v>
      </c>
      <c r="F74" s="1" t="s">
        <v>195</v>
      </c>
      <c r="G74" s="1" t="s">
        <v>102</v>
      </c>
      <c r="H74" s="7" t="s">
        <v>51</v>
      </c>
      <c r="I74" s="7" t="s">
        <v>50</v>
      </c>
      <c r="J74" s="7" t="s">
        <v>50</v>
      </c>
      <c r="K74" s="7" t="s">
        <v>51</v>
      </c>
      <c r="L74" s="1">
        <v>0</v>
      </c>
      <c r="M74" s="1"/>
      <c r="N74" s="1" t="s">
        <v>52</v>
      </c>
      <c r="O74" s="1" t="s">
        <v>81</v>
      </c>
      <c r="P74" s="1" t="s">
        <v>82</v>
      </c>
      <c r="Q74" s="1" t="s">
        <v>55</v>
      </c>
      <c r="R74" s="1" t="s">
        <v>56</v>
      </c>
      <c r="S74" s="1" t="s">
        <v>10</v>
      </c>
      <c r="T74" s="8"/>
      <c r="U74" s="8"/>
      <c r="V74" s="1"/>
    </row>
    <row r="75" spans="1:22" ht="30" hidden="1" x14ac:dyDescent="0.25">
      <c r="A75" s="1" t="s">
        <v>264</v>
      </c>
      <c r="B75" s="1" t="s">
        <v>44</v>
      </c>
      <c r="C75" s="1" t="s">
        <v>45</v>
      </c>
      <c r="D75" s="1" t="s">
        <v>265</v>
      </c>
      <c r="E75" s="1" t="s">
        <v>92</v>
      </c>
      <c r="F75" s="1" t="s">
        <v>195</v>
      </c>
      <c r="G75" s="1" t="s">
        <v>98</v>
      </c>
      <c r="H75" s="7" t="s">
        <v>51</v>
      </c>
      <c r="I75" s="7" t="s">
        <v>50</v>
      </c>
      <c r="J75" s="7" t="s">
        <v>51</v>
      </c>
      <c r="K75" s="7" t="s">
        <v>51</v>
      </c>
      <c r="L75" s="1">
        <v>0</v>
      </c>
      <c r="M75" s="1"/>
      <c r="N75" s="1" t="s">
        <v>52</v>
      </c>
      <c r="O75" s="1" t="s">
        <v>266</v>
      </c>
      <c r="P75" s="1" t="s">
        <v>267</v>
      </c>
      <c r="Q75" s="1" t="s">
        <v>255</v>
      </c>
      <c r="R75" s="1" t="s">
        <v>164</v>
      </c>
      <c r="S75" s="1" t="s">
        <v>12</v>
      </c>
      <c r="T75" s="8"/>
      <c r="U75" s="8"/>
      <c r="V75" s="1"/>
    </row>
    <row r="76" spans="1:22" ht="30" hidden="1" x14ac:dyDescent="0.25">
      <c r="A76" s="1" t="s">
        <v>268</v>
      </c>
      <c r="B76" s="1" t="s">
        <v>44</v>
      </c>
      <c r="C76" s="1" t="s">
        <v>45</v>
      </c>
      <c r="D76" s="1" t="s">
        <v>266</v>
      </c>
      <c r="E76" s="1" t="s">
        <v>92</v>
      </c>
      <c r="F76" s="1" t="s">
        <v>195</v>
      </c>
      <c r="G76" s="1" t="s">
        <v>98</v>
      </c>
      <c r="H76" s="7" t="s">
        <v>51</v>
      </c>
      <c r="I76" s="7" t="s">
        <v>50</v>
      </c>
      <c r="J76" s="7" t="s">
        <v>51</v>
      </c>
      <c r="K76" s="7" t="s">
        <v>50</v>
      </c>
      <c r="L76" s="1">
        <v>0</v>
      </c>
      <c r="M76" s="1"/>
      <c r="N76" s="1" t="s">
        <v>52</v>
      </c>
      <c r="O76" s="1" t="s">
        <v>266</v>
      </c>
      <c r="P76" s="1" t="s">
        <v>254</v>
      </c>
      <c r="Q76" s="1" t="s">
        <v>255</v>
      </c>
      <c r="R76" s="1" t="s">
        <v>256</v>
      </c>
      <c r="S76" s="1" t="s">
        <v>14</v>
      </c>
      <c r="T76" s="8"/>
      <c r="U76" s="8"/>
      <c r="V76" s="1"/>
    </row>
    <row r="77" spans="1:22" ht="60" x14ac:dyDescent="0.25">
      <c r="A77" s="1" t="s">
        <v>269</v>
      </c>
      <c r="B77" s="1" t="s">
        <v>44</v>
      </c>
      <c r="C77" s="1" t="s">
        <v>45</v>
      </c>
      <c r="D77" s="1" t="s">
        <v>270</v>
      </c>
      <c r="E77" s="1" t="s">
        <v>92</v>
      </c>
      <c r="F77" s="1" t="s">
        <v>195</v>
      </c>
      <c r="G77" s="1" t="s">
        <v>98</v>
      </c>
      <c r="H77" s="7" t="s">
        <v>50</v>
      </c>
      <c r="I77" s="7" t="s">
        <v>50</v>
      </c>
      <c r="J77" s="7" t="s">
        <v>51</v>
      </c>
      <c r="K77" s="7" t="s">
        <v>51</v>
      </c>
      <c r="L77" s="1">
        <v>1</v>
      </c>
      <c r="M77" s="1" t="s">
        <v>157</v>
      </c>
      <c r="N77" s="1" t="s">
        <v>52</v>
      </c>
      <c r="O77" s="1" t="s">
        <v>81</v>
      </c>
      <c r="P77" s="1" t="s">
        <v>82</v>
      </c>
      <c r="Q77" s="1" t="s">
        <v>55</v>
      </c>
      <c r="R77" s="1" t="s">
        <v>94</v>
      </c>
      <c r="S77" s="1" t="s">
        <v>18</v>
      </c>
      <c r="T77" s="8"/>
      <c r="U77" s="8"/>
      <c r="V77" s="1" t="s">
        <v>271</v>
      </c>
    </row>
    <row r="78" spans="1:22" ht="60" x14ac:dyDescent="0.25">
      <c r="A78" s="1" t="s">
        <v>272</v>
      </c>
      <c r="B78" s="1" t="s">
        <v>44</v>
      </c>
      <c r="C78" s="1" t="s">
        <v>45</v>
      </c>
      <c r="D78" s="1" t="s">
        <v>273</v>
      </c>
      <c r="E78" s="1" t="s">
        <v>92</v>
      </c>
      <c r="F78" s="1" t="s">
        <v>195</v>
      </c>
      <c r="G78" s="1" t="s">
        <v>98</v>
      </c>
      <c r="H78" s="7" t="s">
        <v>50</v>
      </c>
      <c r="I78" s="7" t="s">
        <v>50</v>
      </c>
      <c r="J78" s="7" t="s">
        <v>51</v>
      </c>
      <c r="K78" s="7" t="s">
        <v>51</v>
      </c>
      <c r="L78" s="1">
        <v>1</v>
      </c>
      <c r="M78" s="1"/>
      <c r="N78" s="1" t="s">
        <v>77</v>
      </c>
      <c r="O78" s="1" t="s">
        <v>81</v>
      </c>
      <c r="P78" s="1" t="s">
        <v>82</v>
      </c>
      <c r="Q78" s="1" t="s">
        <v>55</v>
      </c>
      <c r="R78" s="1" t="s">
        <v>78</v>
      </c>
      <c r="S78" s="1" t="s">
        <v>16</v>
      </c>
      <c r="T78" s="8"/>
      <c r="U78" s="8"/>
      <c r="V78" s="1" t="s">
        <v>271</v>
      </c>
    </row>
    <row r="79" spans="1:22" ht="60" x14ac:dyDescent="0.25">
      <c r="A79" s="1" t="s">
        <v>274</v>
      </c>
      <c r="B79" s="1" t="s">
        <v>44</v>
      </c>
      <c r="C79" s="1" t="s">
        <v>45</v>
      </c>
      <c r="D79" s="1" t="s">
        <v>275</v>
      </c>
      <c r="E79" s="1" t="s">
        <v>92</v>
      </c>
      <c r="F79" s="1" t="s">
        <v>195</v>
      </c>
      <c r="G79" s="1" t="s">
        <v>66</v>
      </c>
      <c r="H79" s="7" t="s">
        <v>50</v>
      </c>
      <c r="I79" s="7" t="s">
        <v>50</v>
      </c>
      <c r="J79" s="7" t="s">
        <v>50</v>
      </c>
      <c r="K79" s="7" t="s">
        <v>51</v>
      </c>
      <c r="L79" s="1">
        <v>1</v>
      </c>
      <c r="M79" s="1"/>
      <c r="N79" s="1" t="s">
        <v>52</v>
      </c>
      <c r="O79" s="1" t="s">
        <v>161</v>
      </c>
      <c r="P79" s="1" t="s">
        <v>162</v>
      </c>
      <c r="Q79" s="1" t="s">
        <v>163</v>
      </c>
      <c r="R79" s="1" t="s">
        <v>164</v>
      </c>
      <c r="S79" s="1" t="s">
        <v>12</v>
      </c>
      <c r="T79" s="8"/>
      <c r="U79" s="8"/>
      <c r="V79" s="1" t="s">
        <v>276</v>
      </c>
    </row>
    <row r="80" spans="1:22" ht="120" x14ac:dyDescent="0.25">
      <c r="A80" s="1" t="s">
        <v>277</v>
      </c>
      <c r="B80" s="1" t="s">
        <v>44</v>
      </c>
      <c r="C80" s="1" t="s">
        <v>45</v>
      </c>
      <c r="D80" s="1" t="s">
        <v>278</v>
      </c>
      <c r="E80" s="1" t="s">
        <v>92</v>
      </c>
      <c r="F80" s="1" t="s">
        <v>195</v>
      </c>
      <c r="G80" s="1" t="s">
        <v>66</v>
      </c>
      <c r="H80" s="7" t="s">
        <v>50</v>
      </c>
      <c r="I80" s="7" t="s">
        <v>50</v>
      </c>
      <c r="J80" s="7" t="s">
        <v>50</v>
      </c>
      <c r="K80" s="7" t="s">
        <v>51</v>
      </c>
      <c r="L80" s="1">
        <v>4</v>
      </c>
      <c r="M80" s="1"/>
      <c r="N80" s="1" t="s">
        <v>77</v>
      </c>
      <c r="O80" s="1" t="s">
        <v>161</v>
      </c>
      <c r="P80" s="1" t="s">
        <v>162</v>
      </c>
      <c r="Q80" s="1" t="s">
        <v>163</v>
      </c>
      <c r="R80" s="1" t="s">
        <v>78</v>
      </c>
      <c r="S80" s="1" t="s">
        <v>16</v>
      </c>
      <c r="T80" s="8"/>
      <c r="U80" s="8"/>
      <c r="V80" s="1" t="s">
        <v>279</v>
      </c>
    </row>
    <row r="81" spans="1:22" ht="60" x14ac:dyDescent="0.25">
      <c r="A81" s="1" t="s">
        <v>280</v>
      </c>
      <c r="B81" s="1" t="s">
        <v>44</v>
      </c>
      <c r="C81" s="1" t="s">
        <v>45</v>
      </c>
      <c r="D81" s="1" t="s">
        <v>281</v>
      </c>
      <c r="E81" s="1" t="s">
        <v>92</v>
      </c>
      <c r="F81" s="1" t="s">
        <v>195</v>
      </c>
      <c r="G81" s="1" t="s">
        <v>66</v>
      </c>
      <c r="H81" s="7" t="s">
        <v>50</v>
      </c>
      <c r="I81" s="7" t="s">
        <v>50</v>
      </c>
      <c r="J81" s="7" t="s">
        <v>50</v>
      </c>
      <c r="K81" s="7" t="s">
        <v>51</v>
      </c>
      <c r="L81" s="1">
        <v>1</v>
      </c>
      <c r="M81" s="1"/>
      <c r="N81" s="1" t="s">
        <v>52</v>
      </c>
      <c r="O81" s="1" t="s">
        <v>171</v>
      </c>
      <c r="P81" s="1" t="s">
        <v>162</v>
      </c>
      <c r="Q81" s="1" t="s">
        <v>163</v>
      </c>
      <c r="R81" s="1" t="s">
        <v>164</v>
      </c>
      <c r="S81" s="1" t="s">
        <v>12</v>
      </c>
      <c r="T81" s="8"/>
      <c r="U81" s="8"/>
      <c r="V81" s="1" t="s">
        <v>282</v>
      </c>
    </row>
    <row r="82" spans="1:22" ht="120" x14ac:dyDescent="0.25">
      <c r="A82" s="1" t="s">
        <v>283</v>
      </c>
      <c r="B82" s="1" t="s">
        <v>44</v>
      </c>
      <c r="C82" s="1" t="s">
        <v>45</v>
      </c>
      <c r="D82" s="1" t="s">
        <v>284</v>
      </c>
      <c r="E82" s="1" t="s">
        <v>92</v>
      </c>
      <c r="F82" s="1" t="s">
        <v>195</v>
      </c>
      <c r="G82" s="1" t="s">
        <v>98</v>
      </c>
      <c r="H82" s="7" t="s">
        <v>50</v>
      </c>
      <c r="I82" s="7" t="s">
        <v>50</v>
      </c>
      <c r="J82" s="7" t="s">
        <v>50</v>
      </c>
      <c r="K82" s="7" t="s">
        <v>51</v>
      </c>
      <c r="L82" s="1">
        <v>11</v>
      </c>
      <c r="M82" s="1"/>
      <c r="N82" s="1" t="s">
        <v>52</v>
      </c>
      <c r="O82" s="1" t="s">
        <v>81</v>
      </c>
      <c r="P82" s="1" t="s">
        <v>82</v>
      </c>
      <c r="Q82" s="1" t="s">
        <v>55</v>
      </c>
      <c r="R82" s="1" t="s">
        <v>56</v>
      </c>
      <c r="S82" s="1" t="s">
        <v>10</v>
      </c>
      <c r="T82" s="8"/>
      <c r="U82" s="8"/>
      <c r="V82" s="1" t="s">
        <v>285</v>
      </c>
    </row>
    <row r="83" spans="1:22" ht="30" hidden="1" x14ac:dyDescent="0.25">
      <c r="A83" s="1" t="s">
        <v>286</v>
      </c>
      <c r="B83" s="1" t="s">
        <v>44</v>
      </c>
      <c r="C83" s="1" t="s">
        <v>45</v>
      </c>
      <c r="D83" s="1" t="s">
        <v>287</v>
      </c>
      <c r="E83" s="1" t="s">
        <v>92</v>
      </c>
      <c r="F83" s="1" t="s">
        <v>195</v>
      </c>
      <c r="G83" s="1" t="s">
        <v>98</v>
      </c>
      <c r="H83" s="7" t="s">
        <v>51</v>
      </c>
      <c r="I83" s="7" t="s">
        <v>50</v>
      </c>
      <c r="J83" s="7" t="s">
        <v>50</v>
      </c>
      <c r="K83" s="7" t="s">
        <v>51</v>
      </c>
      <c r="L83" s="1">
        <v>0</v>
      </c>
      <c r="M83" s="1"/>
      <c r="N83" s="1" t="s">
        <v>77</v>
      </c>
      <c r="O83" s="1" t="s">
        <v>81</v>
      </c>
      <c r="P83" s="1" t="s">
        <v>82</v>
      </c>
      <c r="Q83" s="1" t="s">
        <v>55</v>
      </c>
      <c r="R83" s="1" t="s">
        <v>78</v>
      </c>
      <c r="S83" s="1" t="s">
        <v>16</v>
      </c>
      <c r="T83" s="8"/>
      <c r="U83" s="8"/>
      <c r="V83" s="1"/>
    </row>
    <row r="84" spans="1:22" ht="30" hidden="1" x14ac:dyDescent="0.25">
      <c r="A84" s="1" t="s">
        <v>288</v>
      </c>
      <c r="B84" s="1" t="s">
        <v>44</v>
      </c>
      <c r="C84" s="1" t="s">
        <v>45</v>
      </c>
      <c r="D84" s="1" t="s">
        <v>289</v>
      </c>
      <c r="E84" s="1" t="s">
        <v>92</v>
      </c>
      <c r="F84" s="1" t="s">
        <v>195</v>
      </c>
      <c r="G84" s="1" t="s">
        <v>98</v>
      </c>
      <c r="H84" s="7" t="s">
        <v>51</v>
      </c>
      <c r="I84" s="7" t="s">
        <v>50</v>
      </c>
      <c r="J84" s="7" t="s">
        <v>50</v>
      </c>
      <c r="K84" s="7" t="s">
        <v>51</v>
      </c>
      <c r="L84" s="1">
        <v>0</v>
      </c>
      <c r="M84" s="1"/>
      <c r="N84" s="1" t="s">
        <v>77</v>
      </c>
      <c r="O84" s="1" t="s">
        <v>81</v>
      </c>
      <c r="P84" s="1" t="s">
        <v>82</v>
      </c>
      <c r="Q84" s="1" t="s">
        <v>55</v>
      </c>
      <c r="R84" s="1" t="s">
        <v>78</v>
      </c>
      <c r="S84" s="1" t="s">
        <v>16</v>
      </c>
      <c r="T84" s="8"/>
      <c r="U84" s="8"/>
      <c r="V84" s="1"/>
    </row>
    <row r="85" spans="1:22" ht="120" x14ac:dyDescent="0.25">
      <c r="A85" s="1" t="s">
        <v>290</v>
      </c>
      <c r="B85" s="1" t="s">
        <v>44</v>
      </c>
      <c r="C85" s="1" t="s">
        <v>45</v>
      </c>
      <c r="D85" s="1" t="s">
        <v>291</v>
      </c>
      <c r="E85" s="1" t="s">
        <v>92</v>
      </c>
      <c r="F85" s="1" t="s">
        <v>195</v>
      </c>
      <c r="G85" s="1" t="s">
        <v>93</v>
      </c>
      <c r="H85" s="7" t="s">
        <v>50</v>
      </c>
      <c r="I85" s="7" t="s">
        <v>50</v>
      </c>
      <c r="J85" s="7" t="s">
        <v>50</v>
      </c>
      <c r="K85" s="7" t="s">
        <v>51</v>
      </c>
      <c r="L85" s="1">
        <v>12</v>
      </c>
      <c r="M85" s="1"/>
      <c r="N85" s="1" t="s">
        <v>52</v>
      </c>
      <c r="O85" s="1" t="s">
        <v>81</v>
      </c>
      <c r="P85" s="1" t="s">
        <v>82</v>
      </c>
      <c r="Q85" s="1" t="s">
        <v>55</v>
      </c>
      <c r="R85" s="1" t="s">
        <v>56</v>
      </c>
      <c r="S85" s="1" t="s">
        <v>10</v>
      </c>
      <c r="T85" s="8"/>
      <c r="U85" s="8"/>
      <c r="V85" s="1" t="s">
        <v>292</v>
      </c>
    </row>
    <row r="86" spans="1:22" ht="30" hidden="1" x14ac:dyDescent="0.25">
      <c r="A86" s="1" t="s">
        <v>293</v>
      </c>
      <c r="B86" s="1" t="s">
        <v>44</v>
      </c>
      <c r="C86" s="1" t="s">
        <v>45</v>
      </c>
      <c r="D86" s="1" t="s">
        <v>294</v>
      </c>
      <c r="E86" s="1" t="s">
        <v>92</v>
      </c>
      <c r="F86" s="1" t="s">
        <v>195</v>
      </c>
      <c r="G86" s="1" t="s">
        <v>93</v>
      </c>
      <c r="H86" s="7" t="s">
        <v>51</v>
      </c>
      <c r="I86" s="7" t="s">
        <v>50</v>
      </c>
      <c r="J86" s="7" t="s">
        <v>50</v>
      </c>
      <c r="K86" s="7" t="s">
        <v>51</v>
      </c>
      <c r="L86" s="1">
        <v>0</v>
      </c>
      <c r="M86" s="1"/>
      <c r="N86" s="1" t="s">
        <v>77</v>
      </c>
      <c r="O86" s="1" t="s">
        <v>81</v>
      </c>
      <c r="P86" s="1" t="s">
        <v>82</v>
      </c>
      <c r="Q86" s="1" t="s">
        <v>55</v>
      </c>
      <c r="R86" s="1" t="s">
        <v>78</v>
      </c>
      <c r="S86" s="1" t="s">
        <v>16</v>
      </c>
      <c r="T86" s="8"/>
      <c r="U86" s="8"/>
      <c r="V86" s="1"/>
    </row>
    <row r="87" spans="1:22" ht="30" hidden="1" x14ac:dyDescent="0.25">
      <c r="A87" s="1" t="s">
        <v>295</v>
      </c>
      <c r="B87" s="1" t="s">
        <v>44</v>
      </c>
      <c r="C87" s="1" t="s">
        <v>45</v>
      </c>
      <c r="D87" s="1" t="s">
        <v>296</v>
      </c>
      <c r="E87" s="1" t="s">
        <v>92</v>
      </c>
      <c r="F87" s="1" t="s">
        <v>195</v>
      </c>
      <c r="G87" s="1" t="s">
        <v>93</v>
      </c>
      <c r="H87" s="7" t="s">
        <v>51</v>
      </c>
      <c r="I87" s="7" t="s">
        <v>50</v>
      </c>
      <c r="J87" s="7" t="s">
        <v>51</v>
      </c>
      <c r="K87" s="7" t="s">
        <v>51</v>
      </c>
      <c r="L87" s="1">
        <v>0</v>
      </c>
      <c r="M87" s="1"/>
      <c r="N87" s="1" t="s">
        <v>52</v>
      </c>
      <c r="O87" s="1" t="s">
        <v>81</v>
      </c>
      <c r="P87" s="1" t="s">
        <v>82</v>
      </c>
      <c r="Q87" s="1" t="s">
        <v>55</v>
      </c>
      <c r="R87" s="1" t="s">
        <v>94</v>
      </c>
      <c r="S87" s="1" t="s">
        <v>18</v>
      </c>
      <c r="T87" s="8"/>
      <c r="U87" s="8"/>
      <c r="V87" s="1"/>
    </row>
    <row r="88" spans="1:22" ht="120" x14ac:dyDescent="0.25">
      <c r="A88" s="1" t="s">
        <v>297</v>
      </c>
      <c r="B88" s="1" t="s">
        <v>44</v>
      </c>
      <c r="C88" s="1" t="s">
        <v>45</v>
      </c>
      <c r="D88" s="1" t="s">
        <v>298</v>
      </c>
      <c r="E88" s="1" t="s">
        <v>92</v>
      </c>
      <c r="F88" s="1" t="s">
        <v>195</v>
      </c>
      <c r="G88" s="1" t="s">
        <v>93</v>
      </c>
      <c r="H88" s="7" t="s">
        <v>50</v>
      </c>
      <c r="I88" s="7" t="s">
        <v>50</v>
      </c>
      <c r="J88" s="7" t="s">
        <v>50</v>
      </c>
      <c r="K88" s="7" t="s">
        <v>51</v>
      </c>
      <c r="L88" s="1">
        <v>3</v>
      </c>
      <c r="M88" s="1"/>
      <c r="N88" s="1" t="s">
        <v>52</v>
      </c>
      <c r="O88" s="1" t="s">
        <v>81</v>
      </c>
      <c r="P88" s="1" t="s">
        <v>82</v>
      </c>
      <c r="Q88" s="1" t="s">
        <v>55</v>
      </c>
      <c r="R88" s="1" t="s">
        <v>56</v>
      </c>
      <c r="S88" s="1" t="s">
        <v>10</v>
      </c>
      <c r="T88" s="8"/>
      <c r="U88" s="8"/>
      <c r="V88" s="1" t="s">
        <v>299</v>
      </c>
    </row>
    <row r="89" spans="1:22" ht="120" x14ac:dyDescent="0.25">
      <c r="A89" s="1" t="s">
        <v>300</v>
      </c>
      <c r="B89" s="1" t="s">
        <v>44</v>
      </c>
      <c r="C89" s="1" t="s">
        <v>45</v>
      </c>
      <c r="D89" s="1" t="s">
        <v>301</v>
      </c>
      <c r="E89" s="1" t="s">
        <v>178</v>
      </c>
      <c r="F89" s="1" t="s">
        <v>195</v>
      </c>
      <c r="G89" s="1" t="s">
        <v>179</v>
      </c>
      <c r="H89" s="7" t="s">
        <v>50</v>
      </c>
      <c r="I89" s="7" t="s">
        <v>50</v>
      </c>
      <c r="J89" s="7" t="s">
        <v>50</v>
      </c>
      <c r="K89" s="7" t="s">
        <v>51</v>
      </c>
      <c r="L89" s="1">
        <v>2</v>
      </c>
      <c r="M89" s="1"/>
      <c r="N89" s="1" t="s">
        <v>52</v>
      </c>
      <c r="O89" s="1" t="s">
        <v>81</v>
      </c>
      <c r="P89" s="1" t="s">
        <v>82</v>
      </c>
      <c r="Q89" s="1" t="s">
        <v>55</v>
      </c>
      <c r="R89" s="1" t="s">
        <v>56</v>
      </c>
      <c r="S89" s="1" t="s">
        <v>10</v>
      </c>
      <c r="T89" s="8"/>
      <c r="U89" s="8"/>
      <c r="V89" s="1" t="s">
        <v>302</v>
      </c>
    </row>
    <row r="90" spans="1:22" ht="30" hidden="1" x14ac:dyDescent="0.25">
      <c r="A90" s="1" t="s">
        <v>303</v>
      </c>
      <c r="B90" s="1" t="s">
        <v>44</v>
      </c>
      <c r="C90" s="1" t="s">
        <v>45</v>
      </c>
      <c r="D90" s="1" t="s">
        <v>304</v>
      </c>
      <c r="E90" s="1" t="s">
        <v>178</v>
      </c>
      <c r="F90" s="1" t="s">
        <v>195</v>
      </c>
      <c r="G90" s="1" t="s">
        <v>179</v>
      </c>
      <c r="H90" s="7" t="s">
        <v>51</v>
      </c>
      <c r="I90" s="7" t="s">
        <v>50</v>
      </c>
      <c r="J90" s="7" t="s">
        <v>50</v>
      </c>
      <c r="K90" s="7" t="s">
        <v>51</v>
      </c>
      <c r="L90" s="1">
        <v>0</v>
      </c>
      <c r="M90" s="1"/>
      <c r="N90" s="1" t="s">
        <v>52</v>
      </c>
      <c r="O90" s="1" t="s">
        <v>81</v>
      </c>
      <c r="P90" s="1" t="s">
        <v>82</v>
      </c>
      <c r="Q90" s="1" t="s">
        <v>55</v>
      </c>
      <c r="R90" s="1" t="s">
        <v>56</v>
      </c>
      <c r="S90" s="1" t="s">
        <v>10</v>
      </c>
      <c r="T90" s="8"/>
      <c r="U90" s="8"/>
      <c r="V90" s="1"/>
    </row>
    <row r="91" spans="1:22" ht="30" hidden="1" x14ac:dyDescent="0.25">
      <c r="A91" s="1" t="s">
        <v>305</v>
      </c>
      <c r="B91" s="1" t="s">
        <v>44</v>
      </c>
      <c r="C91" s="1" t="s">
        <v>45</v>
      </c>
      <c r="D91" s="1" t="s">
        <v>306</v>
      </c>
      <c r="E91" s="1" t="s">
        <v>178</v>
      </c>
      <c r="F91" s="1" t="s">
        <v>195</v>
      </c>
      <c r="G91" s="1" t="s">
        <v>179</v>
      </c>
      <c r="H91" s="7" t="s">
        <v>51</v>
      </c>
      <c r="I91" s="7" t="s">
        <v>50</v>
      </c>
      <c r="J91" s="7" t="s">
        <v>50</v>
      </c>
      <c r="K91" s="7" t="s">
        <v>51</v>
      </c>
      <c r="L91" s="1">
        <v>0</v>
      </c>
      <c r="M91" s="1"/>
      <c r="N91" s="1" t="s">
        <v>52</v>
      </c>
      <c r="O91" s="1" t="s">
        <v>81</v>
      </c>
      <c r="P91" s="1" t="s">
        <v>82</v>
      </c>
      <c r="Q91" s="1" t="s">
        <v>55</v>
      </c>
      <c r="R91" s="1" t="s">
        <v>56</v>
      </c>
      <c r="S91" s="1" t="s">
        <v>10</v>
      </c>
      <c r="T91" s="8"/>
      <c r="U91" s="8"/>
      <c r="V91" s="1"/>
    </row>
    <row r="92" spans="1:22" ht="30" hidden="1" x14ac:dyDescent="0.25">
      <c r="A92" s="1" t="s">
        <v>307</v>
      </c>
      <c r="B92" s="1" t="s">
        <v>44</v>
      </c>
      <c r="C92" s="1" t="s">
        <v>45</v>
      </c>
      <c r="D92" s="1" t="s">
        <v>308</v>
      </c>
      <c r="E92" s="1" t="s">
        <v>178</v>
      </c>
      <c r="F92" s="1" t="s">
        <v>195</v>
      </c>
      <c r="G92" s="1" t="s">
        <v>179</v>
      </c>
      <c r="H92" s="7" t="s">
        <v>51</v>
      </c>
      <c r="I92" s="7" t="s">
        <v>50</v>
      </c>
      <c r="J92" s="7" t="s">
        <v>50</v>
      </c>
      <c r="K92" s="7" t="s">
        <v>51</v>
      </c>
      <c r="L92" s="1">
        <v>0</v>
      </c>
      <c r="M92" s="1"/>
      <c r="N92" s="1" t="s">
        <v>52</v>
      </c>
      <c r="O92" s="1" t="s">
        <v>81</v>
      </c>
      <c r="P92" s="1" t="s">
        <v>82</v>
      </c>
      <c r="Q92" s="1" t="s">
        <v>55</v>
      </c>
      <c r="R92" s="1" t="s">
        <v>56</v>
      </c>
      <c r="S92" s="1" t="s">
        <v>10</v>
      </c>
      <c r="T92" s="8"/>
      <c r="U92" s="8"/>
      <c r="V92" s="1"/>
    </row>
    <row r="93" spans="1:22" ht="120" x14ac:dyDescent="0.25">
      <c r="A93" s="1" t="s">
        <v>309</v>
      </c>
      <c r="B93" s="1" t="s">
        <v>44</v>
      </c>
      <c r="C93" s="1" t="s">
        <v>45</v>
      </c>
      <c r="D93" s="1" t="s">
        <v>310</v>
      </c>
      <c r="E93" s="1" t="s">
        <v>178</v>
      </c>
      <c r="F93" s="1" t="s">
        <v>195</v>
      </c>
      <c r="G93" s="1" t="s">
        <v>179</v>
      </c>
      <c r="H93" s="7" t="s">
        <v>50</v>
      </c>
      <c r="I93" s="7" t="s">
        <v>50</v>
      </c>
      <c r="J93" s="7" t="s">
        <v>50</v>
      </c>
      <c r="K93" s="7" t="s">
        <v>51</v>
      </c>
      <c r="L93" s="1">
        <v>2</v>
      </c>
      <c r="M93" s="1"/>
      <c r="N93" s="1" t="s">
        <v>52</v>
      </c>
      <c r="O93" s="1" t="s">
        <v>81</v>
      </c>
      <c r="P93" s="1" t="s">
        <v>82</v>
      </c>
      <c r="Q93" s="1" t="s">
        <v>55</v>
      </c>
      <c r="R93" s="1" t="s">
        <v>56</v>
      </c>
      <c r="S93" s="1" t="s">
        <v>10</v>
      </c>
      <c r="T93" s="8"/>
      <c r="U93" s="8"/>
      <c r="V93" s="1" t="s">
        <v>311</v>
      </c>
    </row>
    <row r="94" spans="1:22" ht="30" hidden="1" x14ac:dyDescent="0.25">
      <c r="A94" s="1" t="s">
        <v>312</v>
      </c>
      <c r="B94" s="1" t="s">
        <v>44</v>
      </c>
      <c r="C94" s="1" t="s">
        <v>45</v>
      </c>
      <c r="D94" s="1" t="s">
        <v>313</v>
      </c>
      <c r="E94" s="1" t="s">
        <v>178</v>
      </c>
      <c r="F94" s="1" t="s">
        <v>195</v>
      </c>
      <c r="G94" s="1" t="s">
        <v>179</v>
      </c>
      <c r="H94" s="7" t="s">
        <v>51</v>
      </c>
      <c r="I94" s="7" t="s">
        <v>50</v>
      </c>
      <c r="J94" s="7" t="s">
        <v>50</v>
      </c>
      <c r="K94" s="7" t="s">
        <v>51</v>
      </c>
      <c r="L94" s="1">
        <v>0</v>
      </c>
      <c r="M94" s="1"/>
      <c r="N94" s="1" t="s">
        <v>52</v>
      </c>
      <c r="O94" s="1" t="s">
        <v>81</v>
      </c>
      <c r="P94" s="1" t="s">
        <v>82</v>
      </c>
      <c r="Q94" s="1" t="s">
        <v>55</v>
      </c>
      <c r="R94" s="1" t="s">
        <v>56</v>
      </c>
      <c r="S94" s="1" t="s">
        <v>10</v>
      </c>
      <c r="T94" s="8"/>
      <c r="U94" s="8"/>
      <c r="V94" s="1"/>
    </row>
    <row r="95" spans="1:22" ht="30" hidden="1" x14ac:dyDescent="0.25">
      <c r="A95" s="1" t="s">
        <v>314</v>
      </c>
      <c r="B95" s="1" t="s">
        <v>44</v>
      </c>
      <c r="C95" s="1" t="s">
        <v>45</v>
      </c>
      <c r="D95" s="1" t="s">
        <v>315</v>
      </c>
      <c r="E95" s="1" t="s">
        <v>178</v>
      </c>
      <c r="F95" s="1" t="s">
        <v>195</v>
      </c>
      <c r="G95" s="1" t="s">
        <v>179</v>
      </c>
      <c r="H95" s="7" t="s">
        <v>51</v>
      </c>
      <c r="I95" s="7" t="s">
        <v>50</v>
      </c>
      <c r="J95" s="7" t="s">
        <v>50</v>
      </c>
      <c r="K95" s="7" t="s">
        <v>51</v>
      </c>
      <c r="L95" s="1">
        <v>0</v>
      </c>
      <c r="M95" s="1"/>
      <c r="N95" s="1" t="s">
        <v>52</v>
      </c>
      <c r="O95" s="1" t="s">
        <v>81</v>
      </c>
      <c r="P95" s="1" t="s">
        <v>82</v>
      </c>
      <c r="Q95" s="1" t="s">
        <v>55</v>
      </c>
      <c r="R95" s="1" t="s">
        <v>56</v>
      </c>
      <c r="S95" s="1" t="s">
        <v>10</v>
      </c>
      <c r="T95" s="8"/>
      <c r="U95" s="8"/>
      <c r="V95" s="1"/>
    </row>
    <row r="96" spans="1:22" ht="30" hidden="1" x14ac:dyDescent="0.25">
      <c r="A96" s="1" t="s">
        <v>316</v>
      </c>
      <c r="B96" s="1" t="s">
        <v>44</v>
      </c>
      <c r="C96" s="1" t="s">
        <v>45</v>
      </c>
      <c r="D96" s="1" t="s">
        <v>317</v>
      </c>
      <c r="E96" s="1" t="s">
        <v>178</v>
      </c>
      <c r="F96" s="1" t="s">
        <v>195</v>
      </c>
      <c r="G96" s="1" t="s">
        <v>179</v>
      </c>
      <c r="H96" s="7" t="s">
        <v>51</v>
      </c>
      <c r="I96" s="7" t="s">
        <v>50</v>
      </c>
      <c r="J96" s="7" t="s">
        <v>50</v>
      </c>
      <c r="K96" s="7" t="s">
        <v>51</v>
      </c>
      <c r="L96" s="1">
        <v>0</v>
      </c>
      <c r="M96" s="1"/>
      <c r="N96" s="1" t="s">
        <v>52</v>
      </c>
      <c r="O96" s="1" t="s">
        <v>81</v>
      </c>
      <c r="P96" s="1" t="s">
        <v>82</v>
      </c>
      <c r="Q96" s="1" t="s">
        <v>55</v>
      </c>
      <c r="R96" s="1" t="s">
        <v>56</v>
      </c>
      <c r="S96" s="1" t="s">
        <v>10</v>
      </c>
      <c r="T96" s="8"/>
      <c r="U96" s="8"/>
      <c r="V96" s="1"/>
    </row>
    <row r="97" spans="1:22" ht="30" hidden="1" x14ac:dyDescent="0.25">
      <c r="A97" s="1" t="s">
        <v>318</v>
      </c>
      <c r="B97" s="1" t="s">
        <v>44</v>
      </c>
      <c r="C97" s="1" t="s">
        <v>45</v>
      </c>
      <c r="D97" s="1" t="s">
        <v>319</v>
      </c>
      <c r="E97" s="1" t="s">
        <v>178</v>
      </c>
      <c r="F97" s="1" t="s">
        <v>195</v>
      </c>
      <c r="G97" s="1" t="s">
        <v>66</v>
      </c>
      <c r="H97" s="7" t="s">
        <v>51</v>
      </c>
      <c r="I97" s="7" t="s">
        <v>50</v>
      </c>
      <c r="J97" s="7" t="s">
        <v>50</v>
      </c>
      <c r="K97" s="7" t="s">
        <v>51</v>
      </c>
      <c r="L97" s="1">
        <v>0</v>
      </c>
      <c r="M97" s="1"/>
      <c r="N97" s="1" t="s">
        <v>52</v>
      </c>
      <c r="O97" s="1" t="s">
        <v>53</v>
      </c>
      <c r="P97" s="1" t="s">
        <v>54</v>
      </c>
      <c r="Q97" s="1" t="s">
        <v>55</v>
      </c>
      <c r="R97" s="1" t="s">
        <v>56</v>
      </c>
      <c r="S97" s="1" t="s">
        <v>10</v>
      </c>
      <c r="T97" s="8"/>
      <c r="U97" s="8"/>
      <c r="V97" s="1"/>
    </row>
    <row r="98" spans="1:22" ht="30" hidden="1" x14ac:dyDescent="0.25">
      <c r="A98" s="1" t="s">
        <v>320</v>
      </c>
      <c r="B98" s="1" t="s">
        <v>44</v>
      </c>
      <c r="C98" s="1" t="s">
        <v>45</v>
      </c>
      <c r="D98" s="1" t="s">
        <v>321</v>
      </c>
      <c r="E98" s="1" t="s">
        <v>178</v>
      </c>
      <c r="F98" s="1" t="s">
        <v>195</v>
      </c>
      <c r="G98" s="1" t="s">
        <v>66</v>
      </c>
      <c r="H98" s="7" t="s">
        <v>51</v>
      </c>
      <c r="I98" s="7" t="s">
        <v>50</v>
      </c>
      <c r="J98" s="7" t="s">
        <v>50</v>
      </c>
      <c r="K98" s="7" t="s">
        <v>51</v>
      </c>
      <c r="L98" s="1">
        <v>0</v>
      </c>
      <c r="M98" s="1"/>
      <c r="N98" s="1" t="s">
        <v>52</v>
      </c>
      <c r="O98" s="1" t="s">
        <v>53</v>
      </c>
      <c r="P98" s="1" t="s">
        <v>54</v>
      </c>
      <c r="Q98" s="1" t="s">
        <v>55</v>
      </c>
      <c r="R98" s="1" t="s">
        <v>56</v>
      </c>
      <c r="S98" s="1" t="s">
        <v>10</v>
      </c>
      <c r="T98" s="8"/>
      <c r="U98" s="8"/>
      <c r="V98" s="1"/>
    </row>
    <row r="99" spans="1:22" ht="30" hidden="1" x14ac:dyDescent="0.25">
      <c r="A99" s="1" t="s">
        <v>322</v>
      </c>
      <c r="B99" s="1" t="s">
        <v>44</v>
      </c>
      <c r="C99" s="1" t="s">
        <v>45</v>
      </c>
      <c r="D99" s="1" t="s">
        <v>323</v>
      </c>
      <c r="E99" s="1" t="s">
        <v>178</v>
      </c>
      <c r="F99" s="1" t="s">
        <v>195</v>
      </c>
      <c r="G99" s="1" t="s">
        <v>66</v>
      </c>
      <c r="H99" s="7" t="s">
        <v>51</v>
      </c>
      <c r="I99" s="7" t="s">
        <v>50</v>
      </c>
      <c r="J99" s="7" t="s">
        <v>50</v>
      </c>
      <c r="K99" s="7" t="s">
        <v>51</v>
      </c>
      <c r="L99" s="1">
        <v>0</v>
      </c>
      <c r="M99" s="1"/>
      <c r="N99" s="1" t="s">
        <v>52</v>
      </c>
      <c r="O99" s="1" t="s">
        <v>53</v>
      </c>
      <c r="P99" s="1" t="s">
        <v>54</v>
      </c>
      <c r="Q99" s="1" t="s">
        <v>55</v>
      </c>
      <c r="R99" s="1" t="s">
        <v>56</v>
      </c>
      <c r="S99" s="1" t="s">
        <v>10</v>
      </c>
      <c r="T99" s="8"/>
      <c r="U99" s="8"/>
      <c r="V99" s="1"/>
    </row>
    <row r="100" spans="1:22" ht="30" hidden="1" x14ac:dyDescent="0.25">
      <c r="A100" s="1" t="s">
        <v>324</v>
      </c>
      <c r="B100" s="1" t="s">
        <v>44</v>
      </c>
      <c r="C100" s="1" t="s">
        <v>45</v>
      </c>
      <c r="D100" s="1" t="s">
        <v>325</v>
      </c>
      <c r="E100" s="1" t="s">
        <v>178</v>
      </c>
      <c r="F100" s="1" t="s">
        <v>195</v>
      </c>
      <c r="G100" s="1" t="s">
        <v>66</v>
      </c>
      <c r="H100" s="7" t="s">
        <v>51</v>
      </c>
      <c r="I100" s="7" t="s">
        <v>50</v>
      </c>
      <c r="J100" s="7" t="s">
        <v>50</v>
      </c>
      <c r="K100" s="7" t="s">
        <v>51</v>
      </c>
      <c r="L100" s="1">
        <v>0</v>
      </c>
      <c r="M100" s="1"/>
      <c r="N100" s="1" t="s">
        <v>52</v>
      </c>
      <c r="O100" s="1" t="s">
        <v>53</v>
      </c>
      <c r="P100" s="1" t="s">
        <v>54</v>
      </c>
      <c r="Q100" s="1" t="s">
        <v>55</v>
      </c>
      <c r="R100" s="1" t="s">
        <v>56</v>
      </c>
      <c r="S100" s="1" t="s">
        <v>10</v>
      </c>
      <c r="T100" s="8"/>
      <c r="U100" s="8"/>
      <c r="V100" s="1"/>
    </row>
    <row r="101" spans="1:22" ht="120" x14ac:dyDescent="0.25">
      <c r="A101" s="1" t="s">
        <v>326</v>
      </c>
      <c r="B101" s="1" t="s">
        <v>44</v>
      </c>
      <c r="C101" s="1" t="s">
        <v>45</v>
      </c>
      <c r="D101" s="1" t="s">
        <v>327</v>
      </c>
      <c r="E101" s="1" t="s">
        <v>178</v>
      </c>
      <c r="F101" s="1" t="s">
        <v>195</v>
      </c>
      <c r="G101" s="1" t="s">
        <v>66</v>
      </c>
      <c r="H101" s="7" t="s">
        <v>50</v>
      </c>
      <c r="I101" s="7" t="s">
        <v>50</v>
      </c>
      <c r="J101" s="7" t="s">
        <v>50</v>
      </c>
      <c r="K101" s="7" t="s">
        <v>51</v>
      </c>
      <c r="L101" s="1">
        <v>4</v>
      </c>
      <c r="M101" s="1"/>
      <c r="N101" s="1" t="s">
        <v>52</v>
      </c>
      <c r="O101" s="1" t="s">
        <v>53</v>
      </c>
      <c r="P101" s="1" t="s">
        <v>54</v>
      </c>
      <c r="Q101" s="1" t="s">
        <v>55</v>
      </c>
      <c r="R101" s="1" t="s">
        <v>56</v>
      </c>
      <c r="S101" s="1" t="s">
        <v>10</v>
      </c>
      <c r="T101" s="8"/>
      <c r="U101" s="8"/>
      <c r="V101" s="1" t="s">
        <v>328</v>
      </c>
    </row>
    <row r="102" spans="1:22" ht="120" hidden="1" x14ac:dyDescent="0.25">
      <c r="A102" s="1" t="s">
        <v>329</v>
      </c>
      <c r="B102" s="1" t="s">
        <v>44</v>
      </c>
      <c r="C102" s="1" t="s">
        <v>45</v>
      </c>
      <c r="D102" s="1" t="s">
        <v>330</v>
      </c>
      <c r="E102" s="1" t="s">
        <v>47</v>
      </c>
      <c r="F102" s="1" t="s">
        <v>331</v>
      </c>
      <c r="G102" s="1" t="s">
        <v>49</v>
      </c>
      <c r="H102" s="7" t="s">
        <v>50</v>
      </c>
      <c r="I102" s="7" t="s">
        <v>50</v>
      </c>
      <c r="J102" s="7" t="s">
        <v>50</v>
      </c>
      <c r="K102" s="7" t="s">
        <v>51</v>
      </c>
      <c r="L102" s="1">
        <v>4</v>
      </c>
      <c r="M102" s="1"/>
      <c r="N102" s="1" t="s">
        <v>52</v>
      </c>
      <c r="O102" s="1" t="s">
        <v>53</v>
      </c>
      <c r="P102" s="1" t="s">
        <v>54</v>
      </c>
      <c r="Q102" s="1" t="s">
        <v>55</v>
      </c>
      <c r="R102" s="1" t="s">
        <v>56</v>
      </c>
      <c r="S102" s="1" t="s">
        <v>10</v>
      </c>
      <c r="T102" s="8"/>
      <c r="U102" s="8"/>
      <c r="V102" s="1" t="s">
        <v>332</v>
      </c>
    </row>
    <row r="103" spans="1:22" ht="30" hidden="1" x14ac:dyDescent="0.25">
      <c r="A103" s="1" t="s">
        <v>333</v>
      </c>
      <c r="B103" s="1" t="s">
        <v>44</v>
      </c>
      <c r="C103" s="1" t="s">
        <v>45</v>
      </c>
      <c r="D103" s="1" t="s">
        <v>334</v>
      </c>
      <c r="E103" s="1" t="s">
        <v>47</v>
      </c>
      <c r="F103" s="1" t="s">
        <v>331</v>
      </c>
      <c r="G103" s="1" t="s">
        <v>49</v>
      </c>
      <c r="H103" s="7" t="s">
        <v>51</v>
      </c>
      <c r="I103" s="7" t="s">
        <v>50</v>
      </c>
      <c r="J103" s="7" t="s">
        <v>50</v>
      </c>
      <c r="K103" s="7" t="s">
        <v>51</v>
      </c>
      <c r="L103" s="1">
        <v>0</v>
      </c>
      <c r="M103" s="1"/>
      <c r="N103" s="1" t="s">
        <v>52</v>
      </c>
      <c r="O103" s="1" t="s">
        <v>53</v>
      </c>
      <c r="P103" s="1" t="s">
        <v>54</v>
      </c>
      <c r="Q103" s="1" t="s">
        <v>55</v>
      </c>
      <c r="R103" s="1" t="s">
        <v>56</v>
      </c>
      <c r="S103" s="1" t="s">
        <v>10</v>
      </c>
      <c r="T103" s="8"/>
      <c r="U103" s="8"/>
      <c r="V103" s="1"/>
    </row>
    <row r="104" spans="1:22" ht="30" hidden="1" x14ac:dyDescent="0.25">
      <c r="A104" s="1" t="s">
        <v>335</v>
      </c>
      <c r="B104" s="1" t="s">
        <v>44</v>
      </c>
      <c r="C104" s="1" t="s">
        <v>45</v>
      </c>
      <c r="D104" s="1" t="s">
        <v>336</v>
      </c>
      <c r="E104" s="1" t="s">
        <v>47</v>
      </c>
      <c r="F104" s="1" t="s">
        <v>331</v>
      </c>
      <c r="G104" s="1" t="s">
        <v>49</v>
      </c>
      <c r="H104" s="7" t="s">
        <v>51</v>
      </c>
      <c r="I104" s="7" t="s">
        <v>50</v>
      </c>
      <c r="J104" s="7" t="s">
        <v>50</v>
      </c>
      <c r="K104" s="7" t="s">
        <v>51</v>
      </c>
      <c r="L104" s="1">
        <v>0</v>
      </c>
      <c r="M104" s="1"/>
      <c r="N104" s="1" t="s">
        <v>52</v>
      </c>
      <c r="O104" s="1" t="s">
        <v>53</v>
      </c>
      <c r="P104" s="1" t="s">
        <v>54</v>
      </c>
      <c r="Q104" s="1" t="s">
        <v>55</v>
      </c>
      <c r="R104" s="1" t="s">
        <v>56</v>
      </c>
      <c r="S104" s="1" t="s">
        <v>10</v>
      </c>
      <c r="T104" s="8"/>
      <c r="U104" s="8"/>
      <c r="V104" s="1"/>
    </row>
    <row r="105" spans="1:22" ht="120" hidden="1" x14ac:dyDescent="0.25">
      <c r="A105" s="1" t="s">
        <v>337</v>
      </c>
      <c r="B105" s="1" t="s">
        <v>44</v>
      </c>
      <c r="C105" s="1" t="s">
        <v>45</v>
      </c>
      <c r="D105" s="1" t="s">
        <v>338</v>
      </c>
      <c r="E105" s="1" t="s">
        <v>47</v>
      </c>
      <c r="F105" s="1" t="s">
        <v>331</v>
      </c>
      <c r="G105" s="1" t="s">
        <v>62</v>
      </c>
      <c r="H105" s="7" t="s">
        <v>50</v>
      </c>
      <c r="I105" s="7" t="s">
        <v>50</v>
      </c>
      <c r="J105" s="7" t="s">
        <v>50</v>
      </c>
      <c r="K105" s="7" t="s">
        <v>51</v>
      </c>
      <c r="L105" s="1">
        <v>4</v>
      </c>
      <c r="M105" s="1"/>
      <c r="N105" s="1" t="s">
        <v>52</v>
      </c>
      <c r="O105" s="1" t="s">
        <v>53</v>
      </c>
      <c r="P105" s="1" t="s">
        <v>54</v>
      </c>
      <c r="Q105" s="1" t="s">
        <v>55</v>
      </c>
      <c r="R105" s="1" t="s">
        <v>56</v>
      </c>
      <c r="S105" s="1" t="s">
        <v>10</v>
      </c>
      <c r="T105" s="8"/>
      <c r="U105" s="8"/>
      <c r="V105" s="1" t="s">
        <v>339</v>
      </c>
    </row>
    <row r="106" spans="1:22" ht="120" hidden="1" x14ac:dyDescent="0.25">
      <c r="A106" s="1" t="s">
        <v>340</v>
      </c>
      <c r="B106" s="1" t="s">
        <v>44</v>
      </c>
      <c r="C106" s="1" t="s">
        <v>45</v>
      </c>
      <c r="D106" s="1" t="s">
        <v>341</v>
      </c>
      <c r="E106" s="1" t="s">
        <v>47</v>
      </c>
      <c r="F106" s="1" t="s">
        <v>331</v>
      </c>
      <c r="G106" s="1" t="s">
        <v>66</v>
      </c>
      <c r="H106" s="7" t="s">
        <v>50</v>
      </c>
      <c r="I106" s="7" t="s">
        <v>50</v>
      </c>
      <c r="J106" s="7" t="s">
        <v>50</v>
      </c>
      <c r="K106" s="7" t="s">
        <v>51</v>
      </c>
      <c r="L106" s="1">
        <v>2</v>
      </c>
      <c r="M106" s="1"/>
      <c r="N106" s="1" t="s">
        <v>52</v>
      </c>
      <c r="O106" s="1" t="s">
        <v>53</v>
      </c>
      <c r="P106" s="1" t="s">
        <v>54</v>
      </c>
      <c r="Q106" s="1" t="s">
        <v>55</v>
      </c>
      <c r="R106" s="1" t="s">
        <v>56</v>
      </c>
      <c r="S106" s="1" t="s">
        <v>10</v>
      </c>
      <c r="T106" s="8"/>
      <c r="U106" s="8"/>
      <c r="V106" s="1" t="s">
        <v>342</v>
      </c>
    </row>
    <row r="107" spans="1:22" ht="30" hidden="1" x14ac:dyDescent="0.25">
      <c r="A107" s="1" t="s">
        <v>343</v>
      </c>
      <c r="B107" s="1" t="s">
        <v>44</v>
      </c>
      <c r="C107" s="1" t="s">
        <v>45</v>
      </c>
      <c r="D107" s="1" t="s">
        <v>344</v>
      </c>
      <c r="E107" s="1" t="s">
        <v>47</v>
      </c>
      <c r="F107" s="1" t="s">
        <v>331</v>
      </c>
      <c r="G107" s="1" t="s">
        <v>66</v>
      </c>
      <c r="H107" s="7" t="s">
        <v>51</v>
      </c>
      <c r="I107" s="7" t="s">
        <v>50</v>
      </c>
      <c r="J107" s="7" t="s">
        <v>50</v>
      </c>
      <c r="K107" s="7" t="s">
        <v>51</v>
      </c>
      <c r="L107" s="1">
        <v>0</v>
      </c>
      <c r="M107" s="1"/>
      <c r="N107" s="1" t="s">
        <v>52</v>
      </c>
      <c r="O107" s="1" t="s">
        <v>53</v>
      </c>
      <c r="P107" s="1" t="s">
        <v>54</v>
      </c>
      <c r="Q107" s="1" t="s">
        <v>55</v>
      </c>
      <c r="R107" s="1" t="s">
        <v>56</v>
      </c>
      <c r="S107" s="1" t="s">
        <v>10</v>
      </c>
      <c r="T107" s="8"/>
      <c r="U107" s="8"/>
      <c r="V107" s="1"/>
    </row>
    <row r="108" spans="1:22" ht="30" hidden="1" x14ac:dyDescent="0.25">
      <c r="A108" s="1" t="s">
        <v>345</v>
      </c>
      <c r="B108" s="1" t="s">
        <v>44</v>
      </c>
      <c r="C108" s="1" t="s">
        <v>45</v>
      </c>
      <c r="D108" s="1" t="s">
        <v>346</v>
      </c>
      <c r="E108" s="1" t="s">
        <v>47</v>
      </c>
      <c r="F108" s="1" t="s">
        <v>331</v>
      </c>
      <c r="G108" s="1" t="s">
        <v>66</v>
      </c>
      <c r="H108" s="7" t="s">
        <v>51</v>
      </c>
      <c r="I108" s="7" t="s">
        <v>50</v>
      </c>
      <c r="J108" s="7" t="s">
        <v>50</v>
      </c>
      <c r="K108" s="7" t="s">
        <v>51</v>
      </c>
      <c r="L108" s="1">
        <v>0</v>
      </c>
      <c r="M108" s="1"/>
      <c r="N108" s="1" t="s">
        <v>52</v>
      </c>
      <c r="O108" s="1" t="s">
        <v>53</v>
      </c>
      <c r="P108" s="1" t="s">
        <v>54</v>
      </c>
      <c r="Q108" s="1" t="s">
        <v>55</v>
      </c>
      <c r="R108" s="1" t="s">
        <v>56</v>
      </c>
      <c r="S108" s="1" t="s">
        <v>10</v>
      </c>
      <c r="T108" s="8"/>
      <c r="U108" s="8"/>
      <c r="V108" s="1"/>
    </row>
    <row r="109" spans="1:22" ht="120" hidden="1" x14ac:dyDescent="0.25">
      <c r="A109" s="1" t="s">
        <v>347</v>
      </c>
      <c r="B109" s="1" t="s">
        <v>44</v>
      </c>
      <c r="C109" s="1" t="s">
        <v>45</v>
      </c>
      <c r="D109" s="1" t="s">
        <v>348</v>
      </c>
      <c r="E109" s="1" t="s">
        <v>47</v>
      </c>
      <c r="F109" s="1" t="s">
        <v>331</v>
      </c>
      <c r="G109" s="1" t="s">
        <v>66</v>
      </c>
      <c r="H109" s="7" t="s">
        <v>50</v>
      </c>
      <c r="I109" s="7" t="s">
        <v>50</v>
      </c>
      <c r="J109" s="7" t="s">
        <v>50</v>
      </c>
      <c r="K109" s="7" t="s">
        <v>51</v>
      </c>
      <c r="L109" s="1">
        <v>4</v>
      </c>
      <c r="M109" s="1"/>
      <c r="N109" s="1" t="s">
        <v>52</v>
      </c>
      <c r="O109" s="1" t="s">
        <v>53</v>
      </c>
      <c r="P109" s="1" t="s">
        <v>54</v>
      </c>
      <c r="Q109" s="1" t="s">
        <v>55</v>
      </c>
      <c r="R109" s="1" t="s">
        <v>56</v>
      </c>
      <c r="S109" s="1" t="s">
        <v>10</v>
      </c>
      <c r="T109" s="8"/>
      <c r="U109" s="8"/>
      <c r="V109" s="1" t="s">
        <v>349</v>
      </c>
    </row>
    <row r="110" spans="1:22" ht="30" hidden="1" x14ac:dyDescent="0.25">
      <c r="A110" s="1" t="s">
        <v>350</v>
      </c>
      <c r="B110" s="1" t="s">
        <v>44</v>
      </c>
      <c r="C110" s="1" t="s">
        <v>45</v>
      </c>
      <c r="D110" s="1" t="s">
        <v>351</v>
      </c>
      <c r="E110" s="1" t="s">
        <v>47</v>
      </c>
      <c r="F110" s="1" t="s">
        <v>331</v>
      </c>
      <c r="G110" s="1" t="s">
        <v>66</v>
      </c>
      <c r="H110" s="7" t="s">
        <v>51</v>
      </c>
      <c r="I110" s="7" t="s">
        <v>50</v>
      </c>
      <c r="J110" s="7" t="s">
        <v>50</v>
      </c>
      <c r="K110" s="7" t="s">
        <v>51</v>
      </c>
      <c r="L110" s="1">
        <v>0</v>
      </c>
      <c r="M110" s="1"/>
      <c r="N110" s="1" t="s">
        <v>52</v>
      </c>
      <c r="O110" s="1" t="s">
        <v>53</v>
      </c>
      <c r="P110" s="1" t="s">
        <v>54</v>
      </c>
      <c r="Q110" s="1" t="s">
        <v>55</v>
      </c>
      <c r="R110" s="1" t="s">
        <v>56</v>
      </c>
      <c r="S110" s="1" t="s">
        <v>10</v>
      </c>
      <c r="T110" s="8"/>
      <c r="U110" s="8"/>
      <c r="V110" s="1"/>
    </row>
    <row r="111" spans="1:22" ht="30" hidden="1" x14ac:dyDescent="0.25">
      <c r="A111" s="1" t="s">
        <v>352</v>
      </c>
      <c r="B111" s="1" t="s">
        <v>44</v>
      </c>
      <c r="C111" s="1" t="s">
        <v>45</v>
      </c>
      <c r="D111" s="1" t="s">
        <v>353</v>
      </c>
      <c r="E111" s="1" t="s">
        <v>47</v>
      </c>
      <c r="F111" s="1" t="s">
        <v>331</v>
      </c>
      <c r="G111" s="1" t="s">
        <v>66</v>
      </c>
      <c r="H111" s="7" t="s">
        <v>51</v>
      </c>
      <c r="I111" s="7" t="s">
        <v>50</v>
      </c>
      <c r="J111" s="7" t="s">
        <v>50</v>
      </c>
      <c r="K111" s="7" t="s">
        <v>51</v>
      </c>
      <c r="L111" s="1">
        <v>0</v>
      </c>
      <c r="M111" s="1"/>
      <c r="N111" s="1" t="s">
        <v>52</v>
      </c>
      <c r="O111" s="1" t="s">
        <v>53</v>
      </c>
      <c r="P111" s="1" t="s">
        <v>54</v>
      </c>
      <c r="Q111" s="1" t="s">
        <v>55</v>
      </c>
      <c r="R111" s="1" t="s">
        <v>56</v>
      </c>
      <c r="S111" s="1" t="s">
        <v>10</v>
      </c>
      <c r="T111" s="8"/>
      <c r="U111" s="8"/>
      <c r="V111" s="1"/>
    </row>
    <row r="112" spans="1:22" ht="30" hidden="1" x14ac:dyDescent="0.25">
      <c r="A112" s="1" t="s">
        <v>354</v>
      </c>
      <c r="B112" s="1" t="s">
        <v>44</v>
      </c>
      <c r="C112" s="1" t="s">
        <v>45</v>
      </c>
      <c r="D112" s="1" t="s">
        <v>355</v>
      </c>
      <c r="E112" s="1" t="s">
        <v>47</v>
      </c>
      <c r="F112" s="1" t="s">
        <v>331</v>
      </c>
      <c r="G112" s="1" t="s">
        <v>66</v>
      </c>
      <c r="H112" s="7" t="s">
        <v>51</v>
      </c>
      <c r="I112" s="7" t="s">
        <v>50</v>
      </c>
      <c r="J112" s="7" t="s">
        <v>50</v>
      </c>
      <c r="K112" s="7" t="s">
        <v>51</v>
      </c>
      <c r="L112" s="1">
        <v>0</v>
      </c>
      <c r="M112" s="1"/>
      <c r="N112" s="1" t="s">
        <v>52</v>
      </c>
      <c r="O112" s="1" t="s">
        <v>81</v>
      </c>
      <c r="P112" s="1" t="s">
        <v>82</v>
      </c>
      <c r="Q112" s="1" t="s">
        <v>55</v>
      </c>
      <c r="R112" s="1" t="s">
        <v>56</v>
      </c>
      <c r="S112" s="1" t="s">
        <v>10</v>
      </c>
      <c r="T112" s="8"/>
      <c r="U112" s="8"/>
      <c r="V112" s="1"/>
    </row>
    <row r="113" spans="1:22" ht="30" hidden="1" x14ac:dyDescent="0.25">
      <c r="A113" s="1" t="s">
        <v>356</v>
      </c>
      <c r="B113" s="1" t="s">
        <v>44</v>
      </c>
      <c r="C113" s="1" t="s">
        <v>45</v>
      </c>
      <c r="D113" s="1" t="s">
        <v>357</v>
      </c>
      <c r="E113" s="1" t="s">
        <v>47</v>
      </c>
      <c r="F113" s="1" t="s">
        <v>331</v>
      </c>
      <c r="G113" s="1" t="s">
        <v>66</v>
      </c>
      <c r="H113" s="7" t="s">
        <v>51</v>
      </c>
      <c r="I113" s="7" t="s">
        <v>50</v>
      </c>
      <c r="J113" s="7" t="s">
        <v>50</v>
      </c>
      <c r="K113" s="7" t="s">
        <v>51</v>
      </c>
      <c r="L113" s="1">
        <v>0</v>
      </c>
      <c r="M113" s="1"/>
      <c r="N113" s="1" t="s">
        <v>52</v>
      </c>
      <c r="O113" s="1" t="s">
        <v>81</v>
      </c>
      <c r="P113" s="1" t="s">
        <v>82</v>
      </c>
      <c r="Q113" s="1" t="s">
        <v>55</v>
      </c>
      <c r="R113" s="1" t="s">
        <v>56</v>
      </c>
      <c r="S113" s="1" t="s">
        <v>10</v>
      </c>
      <c r="T113" s="8"/>
      <c r="U113" s="8"/>
      <c r="V113" s="1"/>
    </row>
    <row r="114" spans="1:22" ht="120" hidden="1" x14ac:dyDescent="0.25">
      <c r="A114" s="1" t="s">
        <v>358</v>
      </c>
      <c r="B114" s="1" t="s">
        <v>44</v>
      </c>
      <c r="C114" s="1" t="s">
        <v>45</v>
      </c>
      <c r="D114" s="1" t="s">
        <v>359</v>
      </c>
      <c r="E114" s="1" t="s">
        <v>47</v>
      </c>
      <c r="F114" s="1" t="s">
        <v>331</v>
      </c>
      <c r="G114" s="1" t="s">
        <v>66</v>
      </c>
      <c r="H114" s="7" t="s">
        <v>50</v>
      </c>
      <c r="I114" s="7" t="s">
        <v>50</v>
      </c>
      <c r="J114" s="7" t="s">
        <v>50</v>
      </c>
      <c r="K114" s="7" t="s">
        <v>51</v>
      </c>
      <c r="L114" s="1">
        <v>4</v>
      </c>
      <c r="M114" s="1"/>
      <c r="N114" s="1" t="s">
        <v>52</v>
      </c>
      <c r="O114" s="1" t="s">
        <v>53</v>
      </c>
      <c r="P114" s="1" t="s">
        <v>54</v>
      </c>
      <c r="Q114" s="1" t="s">
        <v>55</v>
      </c>
      <c r="R114" s="1" t="s">
        <v>56</v>
      </c>
      <c r="S114" s="1" t="s">
        <v>10</v>
      </c>
      <c r="T114" s="8"/>
      <c r="U114" s="8"/>
      <c r="V114" s="1" t="s">
        <v>85</v>
      </c>
    </row>
    <row r="115" spans="1:22" ht="30" hidden="1" x14ac:dyDescent="0.25">
      <c r="A115" s="1" t="s">
        <v>360</v>
      </c>
      <c r="B115" s="1" t="s">
        <v>44</v>
      </c>
      <c r="C115" s="1" t="s">
        <v>45</v>
      </c>
      <c r="D115" s="1" t="s">
        <v>361</v>
      </c>
      <c r="E115" s="1" t="s">
        <v>47</v>
      </c>
      <c r="F115" s="1" t="s">
        <v>331</v>
      </c>
      <c r="G115" s="1" t="s">
        <v>66</v>
      </c>
      <c r="H115" s="7" t="s">
        <v>51</v>
      </c>
      <c r="I115" s="7" t="s">
        <v>50</v>
      </c>
      <c r="J115" s="7" t="s">
        <v>50</v>
      </c>
      <c r="K115" s="7" t="s">
        <v>51</v>
      </c>
      <c r="L115" s="1">
        <v>0</v>
      </c>
      <c r="M115" s="1"/>
      <c r="N115" s="1" t="s">
        <v>52</v>
      </c>
      <c r="O115" s="1" t="s">
        <v>53</v>
      </c>
      <c r="P115" s="1" t="s">
        <v>54</v>
      </c>
      <c r="Q115" s="1" t="s">
        <v>55</v>
      </c>
      <c r="R115" s="1" t="s">
        <v>56</v>
      </c>
      <c r="S115" s="1" t="s">
        <v>10</v>
      </c>
      <c r="T115" s="8"/>
      <c r="U115" s="8"/>
      <c r="V115" s="1"/>
    </row>
    <row r="116" spans="1:22" ht="30" hidden="1" x14ac:dyDescent="0.25">
      <c r="A116" s="1" t="s">
        <v>362</v>
      </c>
      <c r="B116" s="1" t="s">
        <v>44</v>
      </c>
      <c r="C116" s="1" t="s">
        <v>45</v>
      </c>
      <c r="D116" s="1" t="s">
        <v>363</v>
      </c>
      <c r="E116" s="1" t="s">
        <v>47</v>
      </c>
      <c r="F116" s="1" t="s">
        <v>331</v>
      </c>
      <c r="G116" s="1" t="s">
        <v>66</v>
      </c>
      <c r="H116" s="7" t="s">
        <v>51</v>
      </c>
      <c r="I116" s="7" t="s">
        <v>50</v>
      </c>
      <c r="J116" s="7" t="s">
        <v>50</v>
      </c>
      <c r="K116" s="7" t="s">
        <v>51</v>
      </c>
      <c r="L116" s="1">
        <v>0</v>
      </c>
      <c r="M116" s="1"/>
      <c r="N116" s="1" t="s">
        <v>52</v>
      </c>
      <c r="O116" s="1" t="s">
        <v>53</v>
      </c>
      <c r="P116" s="1" t="s">
        <v>54</v>
      </c>
      <c r="Q116" s="1" t="s">
        <v>55</v>
      </c>
      <c r="R116" s="1" t="s">
        <v>56</v>
      </c>
      <c r="S116" s="1" t="s">
        <v>10</v>
      </c>
      <c r="T116" s="8"/>
      <c r="U116" s="8"/>
      <c r="V116" s="1"/>
    </row>
    <row r="117" spans="1:22" ht="30" hidden="1" x14ac:dyDescent="0.25">
      <c r="A117" s="1" t="s">
        <v>364</v>
      </c>
      <c r="B117" s="1" t="s">
        <v>44</v>
      </c>
      <c r="C117" s="1" t="s">
        <v>45</v>
      </c>
      <c r="D117" s="1" t="s">
        <v>365</v>
      </c>
      <c r="E117" s="1" t="s">
        <v>92</v>
      </c>
      <c r="F117" s="1" t="s">
        <v>331</v>
      </c>
      <c r="G117" s="1" t="s">
        <v>66</v>
      </c>
      <c r="H117" s="7" t="s">
        <v>51</v>
      </c>
      <c r="I117" s="7" t="s">
        <v>50</v>
      </c>
      <c r="J117" s="7" t="s">
        <v>51</v>
      </c>
      <c r="K117" s="7" t="s">
        <v>51</v>
      </c>
      <c r="L117" s="1">
        <v>0</v>
      </c>
      <c r="M117" s="1"/>
      <c r="N117" s="1" t="s">
        <v>52</v>
      </c>
      <c r="O117" s="1" t="s">
        <v>81</v>
      </c>
      <c r="P117" s="1" t="s">
        <v>82</v>
      </c>
      <c r="Q117" s="1" t="s">
        <v>55</v>
      </c>
      <c r="R117" s="1" t="s">
        <v>94</v>
      </c>
      <c r="S117" s="1" t="s">
        <v>18</v>
      </c>
      <c r="T117" s="8"/>
      <c r="U117" s="8"/>
      <c r="V117" s="1"/>
    </row>
    <row r="118" spans="1:22" ht="105" hidden="1" x14ac:dyDescent="0.25">
      <c r="A118" s="1" t="s">
        <v>366</v>
      </c>
      <c r="B118" s="1" t="s">
        <v>44</v>
      </c>
      <c r="C118" s="1" t="s">
        <v>45</v>
      </c>
      <c r="D118" s="1" t="s">
        <v>367</v>
      </c>
      <c r="E118" s="1" t="s">
        <v>92</v>
      </c>
      <c r="F118" s="1" t="s">
        <v>331</v>
      </c>
      <c r="G118" s="1" t="s">
        <v>98</v>
      </c>
      <c r="H118" s="7" t="s">
        <v>50</v>
      </c>
      <c r="I118" s="7" t="s">
        <v>50</v>
      </c>
      <c r="J118" s="7" t="s">
        <v>50</v>
      </c>
      <c r="K118" s="7" t="s">
        <v>51</v>
      </c>
      <c r="L118" s="1">
        <v>18</v>
      </c>
      <c r="M118" s="1" t="s">
        <v>367</v>
      </c>
      <c r="N118" s="1" t="s">
        <v>52</v>
      </c>
      <c r="O118" s="1" t="s">
        <v>81</v>
      </c>
      <c r="P118" s="1" t="s">
        <v>82</v>
      </c>
      <c r="Q118" s="1" t="s">
        <v>55</v>
      </c>
      <c r="R118" s="1" t="s">
        <v>56</v>
      </c>
      <c r="S118" s="1" t="s">
        <v>10</v>
      </c>
      <c r="T118" s="8"/>
      <c r="U118" s="8"/>
      <c r="V118" s="1" t="s">
        <v>368</v>
      </c>
    </row>
    <row r="119" spans="1:22" ht="105" hidden="1" x14ac:dyDescent="0.25">
      <c r="A119" s="1" t="s">
        <v>369</v>
      </c>
      <c r="B119" s="1" t="s">
        <v>44</v>
      </c>
      <c r="C119" s="1" t="s">
        <v>45</v>
      </c>
      <c r="D119" s="1" t="s">
        <v>370</v>
      </c>
      <c r="E119" s="1" t="s">
        <v>92</v>
      </c>
      <c r="F119" s="1" t="s">
        <v>331</v>
      </c>
      <c r="G119" s="1" t="s">
        <v>98</v>
      </c>
      <c r="H119" s="7" t="s">
        <v>50</v>
      </c>
      <c r="I119" s="7" t="s">
        <v>50</v>
      </c>
      <c r="J119" s="7" t="s">
        <v>50</v>
      </c>
      <c r="K119" s="7" t="s">
        <v>51</v>
      </c>
      <c r="L119" s="1">
        <v>16</v>
      </c>
      <c r="M119" s="1"/>
      <c r="N119" s="1" t="s">
        <v>77</v>
      </c>
      <c r="O119" s="1" t="s">
        <v>81</v>
      </c>
      <c r="P119" s="1" t="s">
        <v>82</v>
      </c>
      <c r="Q119" s="1" t="s">
        <v>55</v>
      </c>
      <c r="R119" s="1" t="s">
        <v>78</v>
      </c>
      <c r="S119" s="1" t="s">
        <v>16</v>
      </c>
      <c r="T119" s="8"/>
      <c r="U119" s="8"/>
      <c r="V119" s="1" t="s">
        <v>371</v>
      </c>
    </row>
    <row r="120" spans="1:22" ht="105" hidden="1" x14ac:dyDescent="0.25">
      <c r="A120" s="1" t="s">
        <v>372</v>
      </c>
      <c r="B120" s="1" t="s">
        <v>44</v>
      </c>
      <c r="C120" s="1" t="s">
        <v>45</v>
      </c>
      <c r="D120" s="1" t="s">
        <v>373</v>
      </c>
      <c r="E120" s="1" t="s">
        <v>92</v>
      </c>
      <c r="F120" s="1" t="s">
        <v>331</v>
      </c>
      <c r="G120" s="1" t="s">
        <v>98</v>
      </c>
      <c r="H120" s="7" t="s">
        <v>50</v>
      </c>
      <c r="I120" s="7" t="s">
        <v>50</v>
      </c>
      <c r="J120" s="7" t="s">
        <v>50</v>
      </c>
      <c r="K120" s="7" t="s">
        <v>51</v>
      </c>
      <c r="L120" s="1">
        <v>18</v>
      </c>
      <c r="M120" s="1"/>
      <c r="N120" s="1" t="s">
        <v>77</v>
      </c>
      <c r="O120" s="1" t="s">
        <v>81</v>
      </c>
      <c r="P120" s="1" t="s">
        <v>82</v>
      </c>
      <c r="Q120" s="1" t="s">
        <v>55</v>
      </c>
      <c r="R120" s="1" t="s">
        <v>78</v>
      </c>
      <c r="S120" s="1" t="s">
        <v>16</v>
      </c>
      <c r="T120" s="8"/>
      <c r="U120" s="8"/>
      <c r="V120" s="1" t="s">
        <v>368</v>
      </c>
    </row>
    <row r="121" spans="1:22" ht="60" hidden="1" x14ac:dyDescent="0.25">
      <c r="A121" s="1" t="s">
        <v>374</v>
      </c>
      <c r="B121" s="1" t="s">
        <v>44</v>
      </c>
      <c r="C121" s="1" t="s">
        <v>45</v>
      </c>
      <c r="D121" s="1" t="s">
        <v>375</v>
      </c>
      <c r="E121" s="1" t="s">
        <v>92</v>
      </c>
      <c r="F121" s="1" t="s">
        <v>331</v>
      </c>
      <c r="G121" s="1" t="s">
        <v>93</v>
      </c>
      <c r="H121" s="7" t="s">
        <v>50</v>
      </c>
      <c r="I121" s="7" t="s">
        <v>50</v>
      </c>
      <c r="J121" s="7" t="s">
        <v>50</v>
      </c>
      <c r="K121" s="7" t="s">
        <v>51</v>
      </c>
      <c r="L121" s="1">
        <v>1</v>
      </c>
      <c r="M121" s="1"/>
      <c r="N121" s="1" t="s">
        <v>52</v>
      </c>
      <c r="O121" s="1" t="s">
        <v>81</v>
      </c>
      <c r="P121" s="1" t="s">
        <v>82</v>
      </c>
      <c r="Q121" s="1" t="s">
        <v>55</v>
      </c>
      <c r="R121" s="1" t="s">
        <v>56</v>
      </c>
      <c r="S121" s="1" t="s">
        <v>10</v>
      </c>
      <c r="T121" s="8"/>
      <c r="U121" s="8"/>
      <c r="V121" s="1" t="s">
        <v>376</v>
      </c>
    </row>
    <row r="122" spans="1:22" ht="135" hidden="1" x14ac:dyDescent="0.25">
      <c r="A122" s="1" t="s">
        <v>377</v>
      </c>
      <c r="B122" s="1" t="s">
        <v>44</v>
      </c>
      <c r="C122" s="1" t="s">
        <v>45</v>
      </c>
      <c r="D122" s="1" t="s">
        <v>378</v>
      </c>
      <c r="E122" s="1" t="s">
        <v>92</v>
      </c>
      <c r="F122" s="1" t="s">
        <v>331</v>
      </c>
      <c r="G122" s="1" t="s">
        <v>93</v>
      </c>
      <c r="H122" s="7" t="s">
        <v>50</v>
      </c>
      <c r="I122" s="7" t="s">
        <v>50</v>
      </c>
      <c r="J122" s="7" t="s">
        <v>50</v>
      </c>
      <c r="K122" s="7" t="s">
        <v>51</v>
      </c>
      <c r="L122" s="1">
        <v>2</v>
      </c>
      <c r="M122" s="1"/>
      <c r="N122" s="1" t="s">
        <v>52</v>
      </c>
      <c r="O122" s="1" t="s">
        <v>81</v>
      </c>
      <c r="P122" s="1" t="s">
        <v>82</v>
      </c>
      <c r="Q122" s="1" t="s">
        <v>55</v>
      </c>
      <c r="R122" s="1" t="s">
        <v>56</v>
      </c>
      <c r="S122" s="1" t="s">
        <v>10</v>
      </c>
      <c r="T122" s="8"/>
      <c r="U122" s="8"/>
      <c r="V122" s="1" t="s">
        <v>379</v>
      </c>
    </row>
    <row r="123" spans="1:22" ht="30" hidden="1" x14ac:dyDescent="0.25">
      <c r="A123" s="1" t="s">
        <v>380</v>
      </c>
      <c r="B123" s="1" t="s">
        <v>44</v>
      </c>
      <c r="C123" s="1" t="s">
        <v>45</v>
      </c>
      <c r="D123" s="1" t="s">
        <v>381</v>
      </c>
      <c r="E123" s="1" t="s">
        <v>92</v>
      </c>
      <c r="F123" s="1" t="s">
        <v>331</v>
      </c>
      <c r="G123" s="1" t="s">
        <v>98</v>
      </c>
      <c r="H123" s="7" t="s">
        <v>51</v>
      </c>
      <c r="I123" s="7" t="s">
        <v>50</v>
      </c>
      <c r="J123" s="7" t="s">
        <v>51</v>
      </c>
      <c r="K123" s="7" t="s">
        <v>51</v>
      </c>
      <c r="L123" s="1">
        <v>0</v>
      </c>
      <c r="M123" s="1"/>
      <c r="N123" s="1" t="s">
        <v>52</v>
      </c>
      <c r="O123" s="1" t="s">
        <v>81</v>
      </c>
      <c r="P123" s="1" t="s">
        <v>82</v>
      </c>
      <c r="Q123" s="1" t="s">
        <v>55</v>
      </c>
      <c r="R123" s="1" t="s">
        <v>94</v>
      </c>
      <c r="S123" s="1" t="s">
        <v>18</v>
      </c>
      <c r="T123" s="8"/>
      <c r="U123" s="8"/>
      <c r="V123" s="1"/>
    </row>
    <row r="124" spans="1:22" ht="30" hidden="1" x14ac:dyDescent="0.25">
      <c r="A124" s="1" t="s">
        <v>382</v>
      </c>
      <c r="B124" s="1" t="s">
        <v>44</v>
      </c>
      <c r="C124" s="1" t="s">
        <v>45</v>
      </c>
      <c r="D124" s="1" t="s">
        <v>383</v>
      </c>
      <c r="E124" s="1" t="s">
        <v>92</v>
      </c>
      <c r="F124" s="1" t="s">
        <v>331</v>
      </c>
      <c r="G124" s="1" t="s">
        <v>98</v>
      </c>
      <c r="H124" s="7" t="s">
        <v>51</v>
      </c>
      <c r="I124" s="7" t="s">
        <v>50</v>
      </c>
      <c r="J124" s="7" t="s">
        <v>51</v>
      </c>
      <c r="K124" s="7" t="s">
        <v>51</v>
      </c>
      <c r="L124" s="1">
        <v>0</v>
      </c>
      <c r="M124" s="1"/>
      <c r="N124" s="1" t="s">
        <v>77</v>
      </c>
      <c r="O124" s="1" t="s">
        <v>81</v>
      </c>
      <c r="P124" s="1" t="s">
        <v>82</v>
      </c>
      <c r="Q124" s="1" t="s">
        <v>55</v>
      </c>
      <c r="R124" s="1" t="s">
        <v>78</v>
      </c>
      <c r="S124" s="1" t="s">
        <v>16</v>
      </c>
      <c r="T124" s="8"/>
      <c r="U124" s="8"/>
      <c r="V124" s="1"/>
    </row>
    <row r="125" spans="1:22" ht="30" hidden="1" x14ac:dyDescent="0.25">
      <c r="A125" s="1" t="s">
        <v>384</v>
      </c>
      <c r="B125" s="1" t="s">
        <v>44</v>
      </c>
      <c r="C125" s="1" t="s">
        <v>45</v>
      </c>
      <c r="D125" s="1" t="s">
        <v>385</v>
      </c>
      <c r="E125" s="1" t="s">
        <v>92</v>
      </c>
      <c r="F125" s="1" t="s">
        <v>331</v>
      </c>
      <c r="G125" s="1" t="s">
        <v>98</v>
      </c>
      <c r="H125" s="7" t="s">
        <v>51</v>
      </c>
      <c r="I125" s="7" t="s">
        <v>50</v>
      </c>
      <c r="J125" s="7" t="s">
        <v>51</v>
      </c>
      <c r="K125" s="7" t="s">
        <v>51</v>
      </c>
      <c r="L125" s="1">
        <v>0</v>
      </c>
      <c r="M125" s="1"/>
      <c r="N125" s="1" t="s">
        <v>52</v>
      </c>
      <c r="O125" s="1" t="s">
        <v>81</v>
      </c>
      <c r="P125" s="1" t="s">
        <v>82</v>
      </c>
      <c r="Q125" s="1" t="s">
        <v>55</v>
      </c>
      <c r="R125" s="1" t="s">
        <v>94</v>
      </c>
      <c r="S125" s="1" t="s">
        <v>18</v>
      </c>
      <c r="T125" s="8"/>
      <c r="U125" s="8"/>
      <c r="V125" s="1"/>
    </row>
    <row r="126" spans="1:22" ht="30" hidden="1" x14ac:dyDescent="0.25">
      <c r="A126" s="1" t="s">
        <v>386</v>
      </c>
      <c r="B126" s="1" t="s">
        <v>44</v>
      </c>
      <c r="C126" s="1" t="s">
        <v>45</v>
      </c>
      <c r="D126" s="1" t="s">
        <v>387</v>
      </c>
      <c r="E126" s="1" t="s">
        <v>92</v>
      </c>
      <c r="F126" s="1" t="s">
        <v>331</v>
      </c>
      <c r="G126" s="1" t="s">
        <v>98</v>
      </c>
      <c r="H126" s="7" t="s">
        <v>51</v>
      </c>
      <c r="I126" s="7" t="s">
        <v>50</v>
      </c>
      <c r="J126" s="7" t="s">
        <v>51</v>
      </c>
      <c r="K126" s="7" t="s">
        <v>51</v>
      </c>
      <c r="L126" s="1">
        <v>0</v>
      </c>
      <c r="M126" s="1"/>
      <c r="N126" s="1" t="s">
        <v>52</v>
      </c>
      <c r="O126" s="1" t="s">
        <v>81</v>
      </c>
      <c r="P126" s="1" t="s">
        <v>82</v>
      </c>
      <c r="Q126" s="1" t="s">
        <v>55</v>
      </c>
      <c r="R126" s="1" t="s">
        <v>94</v>
      </c>
      <c r="S126" s="1" t="s">
        <v>18</v>
      </c>
      <c r="T126" s="8"/>
      <c r="U126" s="8"/>
      <c r="V126" s="1"/>
    </row>
    <row r="127" spans="1:22" ht="120" hidden="1" x14ac:dyDescent="0.25">
      <c r="A127" s="1" t="s">
        <v>388</v>
      </c>
      <c r="B127" s="1" t="s">
        <v>44</v>
      </c>
      <c r="C127" s="1" t="s">
        <v>45</v>
      </c>
      <c r="D127" s="1" t="s">
        <v>389</v>
      </c>
      <c r="E127" s="1" t="s">
        <v>92</v>
      </c>
      <c r="F127" s="1" t="s">
        <v>331</v>
      </c>
      <c r="G127" s="1" t="s">
        <v>117</v>
      </c>
      <c r="H127" s="7" t="s">
        <v>50</v>
      </c>
      <c r="I127" s="7" t="s">
        <v>51</v>
      </c>
      <c r="J127" s="7" t="s">
        <v>51</v>
      </c>
      <c r="K127" s="7" t="s">
        <v>51</v>
      </c>
      <c r="L127" s="1">
        <v>2</v>
      </c>
      <c r="M127" s="1"/>
      <c r="N127" s="1" t="s">
        <v>52</v>
      </c>
      <c r="O127" s="1" t="s">
        <v>81</v>
      </c>
      <c r="P127" s="1" t="s">
        <v>82</v>
      </c>
      <c r="Q127" s="1" t="s">
        <v>55</v>
      </c>
      <c r="R127" s="1" t="s">
        <v>94</v>
      </c>
      <c r="S127" s="1" t="s">
        <v>18</v>
      </c>
      <c r="T127" s="8"/>
      <c r="U127" s="8"/>
      <c r="V127" s="1" t="s">
        <v>390</v>
      </c>
    </row>
    <row r="128" spans="1:22" ht="30" hidden="1" x14ac:dyDescent="0.25">
      <c r="A128" s="1" t="s">
        <v>391</v>
      </c>
      <c r="B128" s="1" t="s">
        <v>44</v>
      </c>
      <c r="C128" s="1" t="s">
        <v>45</v>
      </c>
      <c r="D128" s="1" t="s">
        <v>392</v>
      </c>
      <c r="E128" s="1" t="s">
        <v>92</v>
      </c>
      <c r="F128" s="1" t="s">
        <v>331</v>
      </c>
      <c r="G128" s="1" t="s">
        <v>117</v>
      </c>
      <c r="H128" s="7" t="s">
        <v>51</v>
      </c>
      <c r="I128" s="7" t="s">
        <v>50</v>
      </c>
      <c r="J128" s="7" t="s">
        <v>51</v>
      </c>
      <c r="K128" s="7" t="s">
        <v>51</v>
      </c>
      <c r="L128" s="1">
        <v>0</v>
      </c>
      <c r="M128" s="1"/>
      <c r="N128" s="1" t="s">
        <v>77</v>
      </c>
      <c r="O128" s="1" t="s">
        <v>81</v>
      </c>
      <c r="P128" s="1" t="s">
        <v>82</v>
      </c>
      <c r="Q128" s="1" t="s">
        <v>55</v>
      </c>
      <c r="R128" s="1" t="s">
        <v>78</v>
      </c>
      <c r="S128" s="1" t="s">
        <v>16</v>
      </c>
      <c r="T128" s="8"/>
      <c r="U128" s="8"/>
      <c r="V128" s="1"/>
    </row>
    <row r="129" spans="1:22" ht="120" hidden="1" x14ac:dyDescent="0.25">
      <c r="A129" s="1" t="s">
        <v>393</v>
      </c>
      <c r="B129" s="1" t="s">
        <v>44</v>
      </c>
      <c r="C129" s="1" t="s">
        <v>45</v>
      </c>
      <c r="D129" s="1" t="s">
        <v>394</v>
      </c>
      <c r="E129" s="1" t="s">
        <v>92</v>
      </c>
      <c r="F129" s="1" t="s">
        <v>331</v>
      </c>
      <c r="G129" s="1" t="s">
        <v>117</v>
      </c>
      <c r="H129" s="7" t="s">
        <v>50</v>
      </c>
      <c r="I129" s="7" t="s">
        <v>50</v>
      </c>
      <c r="J129" s="7" t="s">
        <v>51</v>
      </c>
      <c r="K129" s="7" t="s">
        <v>51</v>
      </c>
      <c r="L129" s="1">
        <v>2</v>
      </c>
      <c r="M129" s="1"/>
      <c r="N129" s="1" t="s">
        <v>77</v>
      </c>
      <c r="O129" s="1" t="s">
        <v>81</v>
      </c>
      <c r="P129" s="1" t="s">
        <v>82</v>
      </c>
      <c r="Q129" s="1" t="s">
        <v>55</v>
      </c>
      <c r="R129" s="1" t="s">
        <v>78</v>
      </c>
      <c r="S129" s="1" t="s">
        <v>16</v>
      </c>
      <c r="T129" s="8"/>
      <c r="U129" s="8"/>
      <c r="V129" s="1" t="s">
        <v>390</v>
      </c>
    </row>
    <row r="130" spans="1:22" ht="30" hidden="1" x14ac:dyDescent="0.25">
      <c r="A130" s="1" t="s">
        <v>395</v>
      </c>
      <c r="B130" s="1" t="s">
        <v>44</v>
      </c>
      <c r="C130" s="1" t="s">
        <v>45</v>
      </c>
      <c r="D130" s="1" t="s">
        <v>396</v>
      </c>
      <c r="E130" s="1" t="s">
        <v>92</v>
      </c>
      <c r="F130" s="1" t="s">
        <v>331</v>
      </c>
      <c r="G130" s="1" t="s">
        <v>98</v>
      </c>
      <c r="H130" s="7" t="s">
        <v>51</v>
      </c>
      <c r="I130" s="7" t="s">
        <v>50</v>
      </c>
      <c r="J130" s="7" t="s">
        <v>51</v>
      </c>
      <c r="K130" s="7" t="s">
        <v>51</v>
      </c>
      <c r="L130" s="1">
        <v>0</v>
      </c>
      <c r="M130" s="1" t="s">
        <v>367</v>
      </c>
      <c r="N130" s="1" t="s">
        <v>52</v>
      </c>
      <c r="O130" s="1" t="s">
        <v>81</v>
      </c>
      <c r="P130" s="1" t="s">
        <v>82</v>
      </c>
      <c r="Q130" s="1" t="s">
        <v>55</v>
      </c>
      <c r="R130" s="1" t="s">
        <v>94</v>
      </c>
      <c r="S130" s="1" t="s">
        <v>18</v>
      </c>
      <c r="T130" s="8"/>
      <c r="U130" s="8"/>
      <c r="V130" s="1"/>
    </row>
    <row r="131" spans="1:22" ht="30" hidden="1" x14ac:dyDescent="0.25">
      <c r="A131" s="1" t="s">
        <v>397</v>
      </c>
      <c r="B131" s="1" t="s">
        <v>44</v>
      </c>
      <c r="C131" s="1" t="s">
        <v>45</v>
      </c>
      <c r="D131" s="1" t="s">
        <v>398</v>
      </c>
      <c r="E131" s="1" t="s">
        <v>92</v>
      </c>
      <c r="F131" s="1" t="s">
        <v>331</v>
      </c>
      <c r="G131" s="1" t="s">
        <v>117</v>
      </c>
      <c r="H131" s="7" t="s">
        <v>51</v>
      </c>
      <c r="I131" s="7" t="s">
        <v>50</v>
      </c>
      <c r="J131" s="7" t="s">
        <v>50</v>
      </c>
      <c r="K131" s="7" t="s">
        <v>51</v>
      </c>
      <c r="L131" s="1">
        <v>0</v>
      </c>
      <c r="M131" s="1"/>
      <c r="N131" s="1" t="s">
        <v>77</v>
      </c>
      <c r="O131" s="1" t="s">
        <v>81</v>
      </c>
      <c r="P131" s="1" t="s">
        <v>82</v>
      </c>
      <c r="Q131" s="1" t="s">
        <v>55</v>
      </c>
      <c r="R131" s="1" t="s">
        <v>78</v>
      </c>
      <c r="S131" s="1" t="s">
        <v>16</v>
      </c>
      <c r="T131" s="8"/>
      <c r="U131" s="8"/>
      <c r="V131" s="1"/>
    </row>
    <row r="132" spans="1:22" ht="120" hidden="1" x14ac:dyDescent="0.25">
      <c r="A132" s="1" t="s">
        <v>399</v>
      </c>
      <c r="B132" s="1" t="s">
        <v>44</v>
      </c>
      <c r="C132" s="1" t="s">
        <v>45</v>
      </c>
      <c r="D132" s="1" t="s">
        <v>400</v>
      </c>
      <c r="E132" s="1" t="s">
        <v>92</v>
      </c>
      <c r="F132" s="1" t="s">
        <v>331</v>
      </c>
      <c r="G132" s="1" t="s">
        <v>117</v>
      </c>
      <c r="H132" s="7" t="s">
        <v>50</v>
      </c>
      <c r="I132" s="7" t="s">
        <v>50</v>
      </c>
      <c r="J132" s="7" t="s">
        <v>50</v>
      </c>
      <c r="K132" s="7" t="s">
        <v>51</v>
      </c>
      <c r="L132" s="1">
        <v>2</v>
      </c>
      <c r="M132" s="1"/>
      <c r="N132" s="1" t="s">
        <v>52</v>
      </c>
      <c r="O132" s="1" t="s">
        <v>81</v>
      </c>
      <c r="P132" s="1" t="s">
        <v>82</v>
      </c>
      <c r="Q132" s="1" t="s">
        <v>55</v>
      </c>
      <c r="R132" s="1" t="s">
        <v>56</v>
      </c>
      <c r="S132" s="1" t="s">
        <v>10</v>
      </c>
      <c r="T132" s="8"/>
      <c r="U132" s="8"/>
      <c r="V132" s="1" t="s">
        <v>401</v>
      </c>
    </row>
    <row r="133" spans="1:22" ht="30" hidden="1" x14ac:dyDescent="0.25">
      <c r="A133" s="1" t="s">
        <v>402</v>
      </c>
      <c r="B133" s="1" t="s">
        <v>44</v>
      </c>
      <c r="C133" s="1" t="s">
        <v>45</v>
      </c>
      <c r="D133" s="1" t="s">
        <v>403</v>
      </c>
      <c r="E133" s="1" t="s">
        <v>92</v>
      </c>
      <c r="F133" s="1" t="s">
        <v>331</v>
      </c>
      <c r="G133" s="1" t="s">
        <v>117</v>
      </c>
      <c r="H133" s="7" t="s">
        <v>51</v>
      </c>
      <c r="I133" s="7" t="s">
        <v>50</v>
      </c>
      <c r="J133" s="7" t="s">
        <v>50</v>
      </c>
      <c r="K133" s="7" t="s">
        <v>51</v>
      </c>
      <c r="L133" s="1">
        <v>0</v>
      </c>
      <c r="M133" s="1"/>
      <c r="N133" s="1" t="s">
        <v>77</v>
      </c>
      <c r="O133" s="1" t="s">
        <v>81</v>
      </c>
      <c r="P133" s="1" t="s">
        <v>82</v>
      </c>
      <c r="Q133" s="1" t="s">
        <v>55</v>
      </c>
      <c r="R133" s="1" t="s">
        <v>78</v>
      </c>
      <c r="S133" s="1" t="s">
        <v>16</v>
      </c>
      <c r="T133" s="8"/>
      <c r="U133" s="8"/>
      <c r="V133" s="1"/>
    </row>
    <row r="134" spans="1:22" ht="120" hidden="1" x14ac:dyDescent="0.25">
      <c r="A134" s="1" t="s">
        <v>404</v>
      </c>
      <c r="B134" s="1" t="s">
        <v>44</v>
      </c>
      <c r="C134" s="1" t="s">
        <v>45</v>
      </c>
      <c r="D134" s="1" t="s">
        <v>405</v>
      </c>
      <c r="E134" s="1" t="s">
        <v>92</v>
      </c>
      <c r="F134" s="1" t="s">
        <v>331</v>
      </c>
      <c r="G134" s="1" t="s">
        <v>117</v>
      </c>
      <c r="H134" s="7" t="s">
        <v>50</v>
      </c>
      <c r="I134" s="7" t="s">
        <v>50</v>
      </c>
      <c r="J134" s="7" t="s">
        <v>50</v>
      </c>
      <c r="K134" s="7" t="s">
        <v>51</v>
      </c>
      <c r="L134" s="1">
        <v>4</v>
      </c>
      <c r="M134" s="1"/>
      <c r="N134" s="1" t="s">
        <v>52</v>
      </c>
      <c r="O134" s="1" t="s">
        <v>81</v>
      </c>
      <c r="P134" s="1" t="s">
        <v>82</v>
      </c>
      <c r="Q134" s="1" t="s">
        <v>55</v>
      </c>
      <c r="R134" s="1" t="s">
        <v>56</v>
      </c>
      <c r="S134" s="1" t="s">
        <v>10</v>
      </c>
      <c r="T134" s="8"/>
      <c r="U134" s="8"/>
      <c r="V134" s="1" t="s">
        <v>406</v>
      </c>
    </row>
    <row r="135" spans="1:22" ht="120" hidden="1" x14ac:dyDescent="0.25">
      <c r="A135" s="1" t="s">
        <v>407</v>
      </c>
      <c r="B135" s="1" t="s">
        <v>44</v>
      </c>
      <c r="C135" s="1" t="s">
        <v>45</v>
      </c>
      <c r="D135" s="1" t="s">
        <v>408</v>
      </c>
      <c r="E135" s="1" t="s">
        <v>92</v>
      </c>
      <c r="F135" s="1" t="s">
        <v>331</v>
      </c>
      <c r="G135" s="1" t="s">
        <v>66</v>
      </c>
      <c r="H135" s="7" t="s">
        <v>50</v>
      </c>
      <c r="I135" s="7" t="s">
        <v>50</v>
      </c>
      <c r="J135" s="7" t="s">
        <v>50</v>
      </c>
      <c r="K135" s="7" t="s">
        <v>51</v>
      </c>
      <c r="L135" s="1">
        <v>3</v>
      </c>
      <c r="M135" s="1"/>
      <c r="N135" s="1" t="s">
        <v>52</v>
      </c>
      <c r="O135" s="1" t="s">
        <v>81</v>
      </c>
      <c r="P135" s="1" t="s">
        <v>82</v>
      </c>
      <c r="Q135" s="1" t="s">
        <v>55</v>
      </c>
      <c r="R135" s="1" t="s">
        <v>56</v>
      </c>
      <c r="S135" s="1" t="s">
        <v>10</v>
      </c>
      <c r="T135" s="8"/>
      <c r="U135" s="8"/>
      <c r="V135" s="1" t="s">
        <v>409</v>
      </c>
    </row>
    <row r="136" spans="1:22" ht="30" hidden="1" x14ac:dyDescent="0.25">
      <c r="A136" s="1" t="s">
        <v>410</v>
      </c>
      <c r="B136" s="1" t="s">
        <v>44</v>
      </c>
      <c r="C136" s="1" t="s">
        <v>45</v>
      </c>
      <c r="D136" s="1" t="s">
        <v>411</v>
      </c>
      <c r="E136" s="1" t="s">
        <v>92</v>
      </c>
      <c r="F136" s="1" t="s">
        <v>331</v>
      </c>
      <c r="G136" s="1" t="s">
        <v>66</v>
      </c>
      <c r="H136" s="7" t="s">
        <v>51</v>
      </c>
      <c r="I136" s="7" t="s">
        <v>50</v>
      </c>
      <c r="J136" s="7" t="s">
        <v>51</v>
      </c>
      <c r="K136" s="7" t="s">
        <v>51</v>
      </c>
      <c r="L136" s="1">
        <v>0</v>
      </c>
      <c r="M136" s="1"/>
      <c r="N136" s="1" t="s">
        <v>77</v>
      </c>
      <c r="O136" s="1" t="s">
        <v>81</v>
      </c>
      <c r="P136" s="1" t="s">
        <v>82</v>
      </c>
      <c r="Q136" s="1" t="s">
        <v>55</v>
      </c>
      <c r="R136" s="1" t="s">
        <v>78</v>
      </c>
      <c r="S136" s="1" t="s">
        <v>16</v>
      </c>
      <c r="T136" s="8"/>
      <c r="U136" s="8"/>
      <c r="V136" s="1"/>
    </row>
    <row r="137" spans="1:22" ht="60" hidden="1" x14ac:dyDescent="0.25">
      <c r="A137" s="1" t="s">
        <v>412</v>
      </c>
      <c r="B137" s="1" t="s">
        <v>44</v>
      </c>
      <c r="C137" s="1" t="s">
        <v>45</v>
      </c>
      <c r="D137" s="1" t="s">
        <v>413</v>
      </c>
      <c r="E137" s="1" t="s">
        <v>92</v>
      </c>
      <c r="F137" s="1" t="s">
        <v>331</v>
      </c>
      <c r="G137" s="1" t="s">
        <v>98</v>
      </c>
      <c r="H137" s="7" t="s">
        <v>50</v>
      </c>
      <c r="I137" s="7" t="s">
        <v>50</v>
      </c>
      <c r="J137" s="7" t="s">
        <v>51</v>
      </c>
      <c r="K137" s="7" t="s">
        <v>51</v>
      </c>
      <c r="L137" s="1">
        <v>1</v>
      </c>
      <c r="M137" s="1"/>
      <c r="N137" s="1" t="s">
        <v>52</v>
      </c>
      <c r="O137" s="1" t="s">
        <v>81</v>
      </c>
      <c r="P137" s="1" t="s">
        <v>82</v>
      </c>
      <c r="Q137" s="1" t="s">
        <v>55</v>
      </c>
      <c r="R137" s="1" t="s">
        <v>94</v>
      </c>
      <c r="S137" s="1" t="s">
        <v>18</v>
      </c>
      <c r="T137" s="8"/>
      <c r="U137" s="8"/>
      <c r="V137" s="1" t="s">
        <v>414</v>
      </c>
    </row>
    <row r="138" spans="1:22" ht="120" hidden="1" x14ac:dyDescent="0.25">
      <c r="A138" s="1" t="s">
        <v>415</v>
      </c>
      <c r="B138" s="1" t="s">
        <v>44</v>
      </c>
      <c r="C138" s="1" t="s">
        <v>45</v>
      </c>
      <c r="D138" s="1" t="s">
        <v>416</v>
      </c>
      <c r="E138" s="1" t="s">
        <v>92</v>
      </c>
      <c r="F138" s="1" t="s">
        <v>331</v>
      </c>
      <c r="G138" s="1" t="s">
        <v>102</v>
      </c>
      <c r="H138" s="7" t="s">
        <v>50</v>
      </c>
      <c r="I138" s="7" t="s">
        <v>50</v>
      </c>
      <c r="J138" s="7" t="s">
        <v>51</v>
      </c>
      <c r="K138" s="7" t="s">
        <v>51</v>
      </c>
      <c r="L138" s="1">
        <v>7</v>
      </c>
      <c r="M138" s="1"/>
      <c r="N138" s="1" t="s">
        <v>52</v>
      </c>
      <c r="O138" s="1" t="s">
        <v>81</v>
      </c>
      <c r="P138" s="1" t="s">
        <v>82</v>
      </c>
      <c r="Q138" s="1" t="s">
        <v>55</v>
      </c>
      <c r="R138" s="1" t="s">
        <v>94</v>
      </c>
      <c r="S138" s="1" t="s">
        <v>18</v>
      </c>
      <c r="T138" s="8"/>
      <c r="U138" s="8"/>
      <c r="V138" s="1" t="s">
        <v>417</v>
      </c>
    </row>
    <row r="139" spans="1:22" ht="60" hidden="1" x14ac:dyDescent="0.25">
      <c r="A139" s="1" t="s">
        <v>418</v>
      </c>
      <c r="B139" s="1" t="s">
        <v>44</v>
      </c>
      <c r="C139" s="1" t="s">
        <v>45</v>
      </c>
      <c r="D139" s="1" t="s">
        <v>419</v>
      </c>
      <c r="E139" s="1" t="s">
        <v>92</v>
      </c>
      <c r="F139" s="1" t="s">
        <v>331</v>
      </c>
      <c r="G139" s="1" t="s">
        <v>98</v>
      </c>
      <c r="H139" s="7" t="s">
        <v>50</v>
      </c>
      <c r="I139" s="7" t="s">
        <v>50</v>
      </c>
      <c r="J139" s="7" t="s">
        <v>51</v>
      </c>
      <c r="K139" s="7" t="s">
        <v>51</v>
      </c>
      <c r="L139" s="1">
        <v>1</v>
      </c>
      <c r="M139" s="1" t="s">
        <v>157</v>
      </c>
      <c r="N139" s="1" t="s">
        <v>52</v>
      </c>
      <c r="O139" s="1" t="s">
        <v>81</v>
      </c>
      <c r="P139" s="1" t="s">
        <v>82</v>
      </c>
      <c r="Q139" s="1" t="s">
        <v>55</v>
      </c>
      <c r="R139" s="1" t="s">
        <v>94</v>
      </c>
      <c r="S139" s="1" t="s">
        <v>18</v>
      </c>
      <c r="T139" s="8"/>
      <c r="U139" s="8"/>
      <c r="V139" s="1" t="s">
        <v>420</v>
      </c>
    </row>
    <row r="140" spans="1:22" ht="30" hidden="1" x14ac:dyDescent="0.25">
      <c r="A140" s="1" t="s">
        <v>421</v>
      </c>
      <c r="B140" s="1" t="s">
        <v>44</v>
      </c>
      <c r="C140" s="1" t="s">
        <v>45</v>
      </c>
      <c r="D140" s="1" t="s">
        <v>422</v>
      </c>
      <c r="E140" s="1" t="s">
        <v>92</v>
      </c>
      <c r="F140" s="1" t="s">
        <v>331</v>
      </c>
      <c r="G140" s="1" t="s">
        <v>98</v>
      </c>
      <c r="H140" s="7" t="s">
        <v>51</v>
      </c>
      <c r="I140" s="7" t="s">
        <v>50</v>
      </c>
      <c r="J140" s="7" t="s">
        <v>51</v>
      </c>
      <c r="K140" s="7" t="s">
        <v>51</v>
      </c>
      <c r="L140" s="1">
        <v>0</v>
      </c>
      <c r="M140" s="1"/>
      <c r="N140" s="1" t="s">
        <v>77</v>
      </c>
      <c r="O140" s="1" t="s">
        <v>81</v>
      </c>
      <c r="P140" s="1" t="s">
        <v>82</v>
      </c>
      <c r="Q140" s="1" t="s">
        <v>55</v>
      </c>
      <c r="R140" s="1" t="s">
        <v>78</v>
      </c>
      <c r="S140" s="1" t="s">
        <v>16</v>
      </c>
      <c r="T140" s="8"/>
      <c r="U140" s="8"/>
      <c r="V140" s="1"/>
    </row>
    <row r="141" spans="1:22" ht="30" hidden="1" x14ac:dyDescent="0.25">
      <c r="A141" s="1" t="s">
        <v>423</v>
      </c>
      <c r="B141" s="1" t="s">
        <v>44</v>
      </c>
      <c r="C141" s="1" t="s">
        <v>45</v>
      </c>
      <c r="D141" s="1" t="s">
        <v>424</v>
      </c>
      <c r="E141" s="1" t="s">
        <v>92</v>
      </c>
      <c r="F141" s="1" t="s">
        <v>331</v>
      </c>
      <c r="G141" s="1" t="s">
        <v>98</v>
      </c>
      <c r="H141" s="7" t="s">
        <v>51</v>
      </c>
      <c r="I141" s="7" t="s">
        <v>50</v>
      </c>
      <c r="J141" s="7" t="s">
        <v>51</v>
      </c>
      <c r="K141" s="7" t="s">
        <v>51</v>
      </c>
      <c r="L141" s="1">
        <v>0</v>
      </c>
      <c r="M141" s="1"/>
      <c r="N141" s="1" t="s">
        <v>77</v>
      </c>
      <c r="O141" s="1" t="s">
        <v>81</v>
      </c>
      <c r="P141" s="1" t="s">
        <v>82</v>
      </c>
      <c r="Q141" s="1" t="s">
        <v>55</v>
      </c>
      <c r="R141" s="1" t="s">
        <v>78</v>
      </c>
      <c r="S141" s="1" t="s">
        <v>16</v>
      </c>
      <c r="T141" s="8"/>
      <c r="U141" s="8"/>
      <c r="V141" s="1"/>
    </row>
    <row r="142" spans="1:22" ht="105" hidden="1" x14ac:dyDescent="0.25">
      <c r="A142" s="1" t="s">
        <v>425</v>
      </c>
      <c r="B142" s="1" t="s">
        <v>44</v>
      </c>
      <c r="C142" s="1" t="s">
        <v>45</v>
      </c>
      <c r="D142" s="1" t="s">
        <v>426</v>
      </c>
      <c r="E142" s="1" t="s">
        <v>92</v>
      </c>
      <c r="F142" s="1" t="s">
        <v>331</v>
      </c>
      <c r="G142" s="1" t="s">
        <v>66</v>
      </c>
      <c r="H142" s="7" t="s">
        <v>50</v>
      </c>
      <c r="I142" s="7" t="s">
        <v>50</v>
      </c>
      <c r="J142" s="7" t="s">
        <v>50</v>
      </c>
      <c r="K142" s="7" t="s">
        <v>51</v>
      </c>
      <c r="L142" s="1">
        <v>4</v>
      </c>
      <c r="M142" s="1"/>
      <c r="N142" s="1" t="s">
        <v>52</v>
      </c>
      <c r="O142" s="1" t="s">
        <v>161</v>
      </c>
      <c r="P142" s="1" t="s">
        <v>162</v>
      </c>
      <c r="Q142" s="1" t="s">
        <v>163</v>
      </c>
      <c r="R142" s="1" t="s">
        <v>164</v>
      </c>
      <c r="S142" s="1" t="s">
        <v>12</v>
      </c>
      <c r="T142" s="8"/>
      <c r="U142" s="8"/>
      <c r="V142" s="1" t="s">
        <v>427</v>
      </c>
    </row>
    <row r="143" spans="1:22" ht="60" hidden="1" x14ac:dyDescent="0.25">
      <c r="A143" s="1" t="s">
        <v>428</v>
      </c>
      <c r="B143" s="1" t="s">
        <v>44</v>
      </c>
      <c r="C143" s="1" t="s">
        <v>45</v>
      </c>
      <c r="D143" s="1" t="s">
        <v>429</v>
      </c>
      <c r="E143" s="1" t="s">
        <v>92</v>
      </c>
      <c r="F143" s="1" t="s">
        <v>331</v>
      </c>
      <c r="G143" s="1" t="s">
        <v>66</v>
      </c>
      <c r="H143" s="7" t="s">
        <v>50</v>
      </c>
      <c r="I143" s="7" t="s">
        <v>50</v>
      </c>
      <c r="J143" s="7" t="s">
        <v>50</v>
      </c>
      <c r="K143" s="7" t="s">
        <v>51</v>
      </c>
      <c r="L143" s="1">
        <v>1</v>
      </c>
      <c r="M143" s="1"/>
      <c r="N143" s="1" t="s">
        <v>77</v>
      </c>
      <c r="O143" s="1" t="s">
        <v>161</v>
      </c>
      <c r="P143" s="1" t="s">
        <v>162</v>
      </c>
      <c r="Q143" s="1" t="s">
        <v>163</v>
      </c>
      <c r="R143" s="1" t="s">
        <v>78</v>
      </c>
      <c r="S143" s="1" t="s">
        <v>16</v>
      </c>
      <c r="T143" s="8"/>
      <c r="U143" s="8"/>
      <c r="V143" s="1" t="s">
        <v>430</v>
      </c>
    </row>
    <row r="144" spans="1:22" ht="60" hidden="1" x14ac:dyDescent="0.25">
      <c r="A144" s="1" t="s">
        <v>431</v>
      </c>
      <c r="B144" s="1" t="s">
        <v>44</v>
      </c>
      <c r="C144" s="1" t="s">
        <v>45</v>
      </c>
      <c r="D144" s="1" t="s">
        <v>432</v>
      </c>
      <c r="E144" s="1" t="s">
        <v>92</v>
      </c>
      <c r="F144" s="1" t="s">
        <v>331</v>
      </c>
      <c r="G144" s="1" t="s">
        <v>66</v>
      </c>
      <c r="H144" s="7" t="s">
        <v>50</v>
      </c>
      <c r="I144" s="7" t="s">
        <v>50</v>
      </c>
      <c r="J144" s="7" t="s">
        <v>50</v>
      </c>
      <c r="K144" s="7" t="s">
        <v>51</v>
      </c>
      <c r="L144" s="1">
        <v>1</v>
      </c>
      <c r="M144" s="1"/>
      <c r="N144" s="1" t="s">
        <v>52</v>
      </c>
      <c r="O144" s="1" t="s">
        <v>171</v>
      </c>
      <c r="P144" s="1" t="s">
        <v>162</v>
      </c>
      <c r="Q144" s="1" t="s">
        <v>163</v>
      </c>
      <c r="R144" s="1" t="s">
        <v>164</v>
      </c>
      <c r="S144" s="1" t="s">
        <v>12</v>
      </c>
      <c r="T144" s="8"/>
      <c r="U144" s="8"/>
      <c r="V144" s="1" t="s">
        <v>433</v>
      </c>
    </row>
    <row r="145" spans="1:22" ht="120" hidden="1" x14ac:dyDescent="0.25">
      <c r="A145" s="1" t="s">
        <v>434</v>
      </c>
      <c r="B145" s="1" t="s">
        <v>44</v>
      </c>
      <c r="C145" s="1" t="s">
        <v>45</v>
      </c>
      <c r="D145" s="1" t="s">
        <v>435</v>
      </c>
      <c r="E145" s="1" t="s">
        <v>178</v>
      </c>
      <c r="F145" s="1" t="s">
        <v>331</v>
      </c>
      <c r="G145" s="1" t="s">
        <v>179</v>
      </c>
      <c r="H145" s="7" t="s">
        <v>50</v>
      </c>
      <c r="I145" s="7" t="s">
        <v>50</v>
      </c>
      <c r="J145" s="7" t="s">
        <v>50</v>
      </c>
      <c r="K145" s="7" t="s">
        <v>51</v>
      </c>
      <c r="L145" s="1">
        <v>2</v>
      </c>
      <c r="M145" s="1"/>
      <c r="N145" s="1" t="s">
        <v>52</v>
      </c>
      <c r="O145" s="1" t="s">
        <v>81</v>
      </c>
      <c r="P145" s="1" t="s">
        <v>82</v>
      </c>
      <c r="Q145" s="1" t="s">
        <v>55</v>
      </c>
      <c r="R145" s="1" t="s">
        <v>56</v>
      </c>
      <c r="S145" s="1" t="s">
        <v>10</v>
      </c>
      <c r="T145" s="8"/>
      <c r="U145" s="8"/>
      <c r="V145" s="1" t="s">
        <v>436</v>
      </c>
    </row>
    <row r="146" spans="1:22" ht="30" hidden="1" x14ac:dyDescent="0.25">
      <c r="A146" s="1" t="s">
        <v>437</v>
      </c>
      <c r="B146" s="1" t="s">
        <v>44</v>
      </c>
      <c r="C146" s="1" t="s">
        <v>45</v>
      </c>
      <c r="D146" s="1" t="s">
        <v>438</v>
      </c>
      <c r="E146" s="1" t="s">
        <v>178</v>
      </c>
      <c r="F146" s="1" t="s">
        <v>331</v>
      </c>
      <c r="G146" s="1" t="s">
        <v>179</v>
      </c>
      <c r="H146" s="7" t="s">
        <v>51</v>
      </c>
      <c r="I146" s="7" t="s">
        <v>50</v>
      </c>
      <c r="J146" s="7" t="s">
        <v>50</v>
      </c>
      <c r="K146" s="7" t="s">
        <v>51</v>
      </c>
      <c r="L146" s="1">
        <v>0</v>
      </c>
      <c r="M146" s="1"/>
      <c r="N146" s="1" t="s">
        <v>52</v>
      </c>
      <c r="O146" s="1" t="s">
        <v>81</v>
      </c>
      <c r="P146" s="1" t="s">
        <v>82</v>
      </c>
      <c r="Q146" s="1" t="s">
        <v>55</v>
      </c>
      <c r="R146" s="1" t="s">
        <v>56</v>
      </c>
      <c r="S146" s="1" t="s">
        <v>10</v>
      </c>
      <c r="T146" s="8"/>
      <c r="U146" s="8"/>
      <c r="V146" s="1"/>
    </row>
    <row r="147" spans="1:22" ht="30" hidden="1" x14ac:dyDescent="0.25">
      <c r="A147" s="1" t="s">
        <v>439</v>
      </c>
      <c r="B147" s="1" t="s">
        <v>44</v>
      </c>
      <c r="C147" s="1" t="s">
        <v>45</v>
      </c>
      <c r="D147" s="1" t="s">
        <v>440</v>
      </c>
      <c r="E147" s="1" t="s">
        <v>178</v>
      </c>
      <c r="F147" s="1" t="s">
        <v>331</v>
      </c>
      <c r="G147" s="1" t="s">
        <v>179</v>
      </c>
      <c r="H147" s="7" t="s">
        <v>51</v>
      </c>
      <c r="I147" s="7" t="s">
        <v>50</v>
      </c>
      <c r="J147" s="7" t="s">
        <v>50</v>
      </c>
      <c r="K147" s="7" t="s">
        <v>51</v>
      </c>
      <c r="L147" s="1">
        <v>0</v>
      </c>
      <c r="M147" s="1"/>
      <c r="N147" s="1" t="s">
        <v>52</v>
      </c>
      <c r="O147" s="1" t="s">
        <v>81</v>
      </c>
      <c r="P147" s="1" t="s">
        <v>82</v>
      </c>
      <c r="Q147" s="1" t="s">
        <v>55</v>
      </c>
      <c r="R147" s="1" t="s">
        <v>56</v>
      </c>
      <c r="S147" s="1" t="s">
        <v>10</v>
      </c>
      <c r="T147" s="8"/>
      <c r="U147" s="8"/>
      <c r="V147" s="1"/>
    </row>
    <row r="148" spans="1:22" ht="120" hidden="1" x14ac:dyDescent="0.25">
      <c r="A148" s="1" t="s">
        <v>441</v>
      </c>
      <c r="B148" s="1" t="s">
        <v>44</v>
      </c>
      <c r="C148" s="1" t="s">
        <v>45</v>
      </c>
      <c r="D148" s="1" t="s">
        <v>442</v>
      </c>
      <c r="E148" s="1" t="s">
        <v>178</v>
      </c>
      <c r="F148" s="1" t="s">
        <v>331</v>
      </c>
      <c r="G148" s="1" t="s">
        <v>179</v>
      </c>
      <c r="H148" s="7" t="s">
        <v>50</v>
      </c>
      <c r="I148" s="7" t="s">
        <v>50</v>
      </c>
      <c r="J148" s="7" t="s">
        <v>50</v>
      </c>
      <c r="K148" s="7" t="s">
        <v>51</v>
      </c>
      <c r="L148" s="1">
        <v>2</v>
      </c>
      <c r="M148" s="1"/>
      <c r="N148" s="1" t="s">
        <v>52</v>
      </c>
      <c r="O148" s="1" t="s">
        <v>81</v>
      </c>
      <c r="P148" s="1" t="s">
        <v>82</v>
      </c>
      <c r="Q148" s="1" t="s">
        <v>55</v>
      </c>
      <c r="R148" s="1" t="s">
        <v>56</v>
      </c>
      <c r="S148" s="1" t="s">
        <v>10</v>
      </c>
      <c r="T148" s="8"/>
      <c r="U148" s="8"/>
      <c r="V148" s="1" t="s">
        <v>443</v>
      </c>
    </row>
    <row r="149" spans="1:22" ht="30" hidden="1" x14ac:dyDescent="0.25">
      <c r="A149" s="1" t="s">
        <v>444</v>
      </c>
      <c r="B149" s="1" t="s">
        <v>44</v>
      </c>
      <c r="C149" s="1" t="s">
        <v>45</v>
      </c>
      <c r="D149" s="1" t="s">
        <v>445</v>
      </c>
      <c r="E149" s="1" t="s">
        <v>178</v>
      </c>
      <c r="F149" s="1" t="s">
        <v>331</v>
      </c>
      <c r="G149" s="1" t="s">
        <v>179</v>
      </c>
      <c r="H149" s="7" t="s">
        <v>51</v>
      </c>
      <c r="I149" s="7" t="s">
        <v>50</v>
      </c>
      <c r="J149" s="7" t="s">
        <v>50</v>
      </c>
      <c r="K149" s="7" t="s">
        <v>51</v>
      </c>
      <c r="L149" s="1">
        <v>0</v>
      </c>
      <c r="M149" s="1"/>
      <c r="N149" s="1" t="s">
        <v>52</v>
      </c>
      <c r="O149" s="1" t="s">
        <v>81</v>
      </c>
      <c r="P149" s="1" t="s">
        <v>82</v>
      </c>
      <c r="Q149" s="1" t="s">
        <v>55</v>
      </c>
      <c r="R149" s="1" t="s">
        <v>56</v>
      </c>
      <c r="S149" s="1" t="s">
        <v>10</v>
      </c>
      <c r="T149" s="8"/>
      <c r="U149" s="8"/>
      <c r="V149" s="1"/>
    </row>
    <row r="150" spans="1:22" ht="30" hidden="1" x14ac:dyDescent="0.25">
      <c r="A150" s="1" t="s">
        <v>446</v>
      </c>
      <c r="B150" s="1" t="s">
        <v>44</v>
      </c>
      <c r="C150" s="1" t="s">
        <v>45</v>
      </c>
      <c r="D150" s="1" t="s">
        <v>447</v>
      </c>
      <c r="E150" s="1" t="s">
        <v>178</v>
      </c>
      <c r="F150" s="1" t="s">
        <v>331</v>
      </c>
      <c r="G150" s="1" t="s">
        <v>179</v>
      </c>
      <c r="H150" s="7" t="s">
        <v>51</v>
      </c>
      <c r="I150" s="7" t="s">
        <v>50</v>
      </c>
      <c r="J150" s="7" t="s">
        <v>50</v>
      </c>
      <c r="K150" s="7" t="s">
        <v>51</v>
      </c>
      <c r="L150" s="1">
        <v>0</v>
      </c>
      <c r="M150" s="1"/>
      <c r="N150" s="1" t="s">
        <v>52</v>
      </c>
      <c r="O150" s="1" t="s">
        <v>81</v>
      </c>
      <c r="P150" s="1" t="s">
        <v>82</v>
      </c>
      <c r="Q150" s="1" t="s">
        <v>55</v>
      </c>
      <c r="R150" s="1" t="s">
        <v>56</v>
      </c>
      <c r="S150" s="1" t="s">
        <v>10</v>
      </c>
      <c r="T150" s="8"/>
      <c r="U150" s="8"/>
      <c r="V150" s="1"/>
    </row>
    <row r="151" spans="1:22" ht="30" hidden="1" x14ac:dyDescent="0.25">
      <c r="A151" s="1" t="s">
        <v>448</v>
      </c>
      <c r="B151" s="1" t="s">
        <v>44</v>
      </c>
      <c r="C151" s="1" t="s">
        <v>45</v>
      </c>
      <c r="D151" s="1" t="s">
        <v>449</v>
      </c>
      <c r="E151" s="1" t="s">
        <v>178</v>
      </c>
      <c r="F151" s="1" t="s">
        <v>331</v>
      </c>
      <c r="G151" s="1" t="s">
        <v>66</v>
      </c>
      <c r="H151" s="7" t="s">
        <v>51</v>
      </c>
      <c r="I151" s="7" t="s">
        <v>50</v>
      </c>
      <c r="J151" s="7" t="s">
        <v>50</v>
      </c>
      <c r="K151" s="7" t="s">
        <v>51</v>
      </c>
      <c r="L151" s="1">
        <v>0</v>
      </c>
      <c r="M151" s="1"/>
      <c r="N151" s="1" t="s">
        <v>52</v>
      </c>
      <c r="O151" s="1" t="s">
        <v>53</v>
      </c>
      <c r="P151" s="1" t="s">
        <v>54</v>
      </c>
      <c r="Q151" s="1" t="s">
        <v>55</v>
      </c>
      <c r="R151" s="1" t="s">
        <v>56</v>
      </c>
      <c r="S151" s="1" t="s">
        <v>10</v>
      </c>
      <c r="T151" s="8"/>
      <c r="U151" s="8"/>
      <c r="V151" s="1"/>
    </row>
    <row r="152" spans="1:22" ht="30" hidden="1" x14ac:dyDescent="0.25">
      <c r="A152" s="1" t="s">
        <v>450</v>
      </c>
      <c r="B152" s="1" t="s">
        <v>44</v>
      </c>
      <c r="C152" s="1" t="s">
        <v>45</v>
      </c>
      <c r="D152" s="1" t="s">
        <v>451</v>
      </c>
      <c r="E152" s="1" t="s">
        <v>178</v>
      </c>
      <c r="F152" s="1" t="s">
        <v>331</v>
      </c>
      <c r="G152" s="1" t="s">
        <v>66</v>
      </c>
      <c r="H152" s="7" t="s">
        <v>51</v>
      </c>
      <c r="I152" s="7" t="s">
        <v>50</v>
      </c>
      <c r="J152" s="7" t="s">
        <v>50</v>
      </c>
      <c r="K152" s="7" t="s">
        <v>51</v>
      </c>
      <c r="L152" s="1">
        <v>0</v>
      </c>
      <c r="M152" s="1"/>
      <c r="N152" s="1" t="s">
        <v>52</v>
      </c>
      <c r="O152" s="1" t="s">
        <v>53</v>
      </c>
      <c r="P152" s="1" t="s">
        <v>54</v>
      </c>
      <c r="Q152" s="1" t="s">
        <v>55</v>
      </c>
      <c r="R152" s="1" t="s">
        <v>56</v>
      </c>
      <c r="S152" s="1" t="s">
        <v>10</v>
      </c>
      <c r="T152" s="8"/>
      <c r="U152" s="8"/>
      <c r="V152" s="1"/>
    </row>
    <row r="153" spans="1:22" ht="120" hidden="1" x14ac:dyDescent="0.25">
      <c r="A153" s="1" t="s">
        <v>452</v>
      </c>
      <c r="B153" s="1" t="s">
        <v>44</v>
      </c>
      <c r="C153" s="1" t="s">
        <v>45</v>
      </c>
      <c r="D153" s="1" t="s">
        <v>453</v>
      </c>
      <c r="E153" s="1" t="s">
        <v>178</v>
      </c>
      <c r="F153" s="1" t="s">
        <v>331</v>
      </c>
      <c r="G153" s="1" t="s">
        <v>66</v>
      </c>
      <c r="H153" s="7" t="s">
        <v>50</v>
      </c>
      <c r="I153" s="7" t="s">
        <v>50</v>
      </c>
      <c r="J153" s="7" t="s">
        <v>50</v>
      </c>
      <c r="K153" s="7" t="s">
        <v>51</v>
      </c>
      <c r="L153" s="1">
        <v>4</v>
      </c>
      <c r="M153" s="1"/>
      <c r="N153" s="1" t="s">
        <v>52</v>
      </c>
      <c r="O153" s="1" t="s">
        <v>53</v>
      </c>
      <c r="P153" s="1" t="s">
        <v>54</v>
      </c>
      <c r="Q153" s="1" t="s">
        <v>55</v>
      </c>
      <c r="R153" s="1" t="s">
        <v>56</v>
      </c>
      <c r="S153" s="1" t="s">
        <v>10</v>
      </c>
      <c r="T153" s="8"/>
      <c r="U153" s="8"/>
      <c r="V153" s="1" t="s">
        <v>454</v>
      </c>
    </row>
    <row r="154" spans="1:22" ht="30" hidden="1" x14ac:dyDescent="0.25">
      <c r="A154" s="1" t="s">
        <v>455</v>
      </c>
      <c r="B154" s="1" t="s">
        <v>44</v>
      </c>
      <c r="C154" s="1" t="s">
        <v>45</v>
      </c>
      <c r="D154" s="1" t="s">
        <v>456</v>
      </c>
      <c r="E154" s="1" t="s">
        <v>47</v>
      </c>
      <c r="F154" s="1" t="s">
        <v>457</v>
      </c>
      <c r="G154" s="1" t="s">
        <v>49</v>
      </c>
      <c r="H154" s="7" t="s">
        <v>51</v>
      </c>
      <c r="I154" s="7" t="s">
        <v>50</v>
      </c>
      <c r="J154" s="7" t="s">
        <v>50</v>
      </c>
      <c r="K154" s="7" t="s">
        <v>51</v>
      </c>
      <c r="L154" s="1">
        <v>0</v>
      </c>
      <c r="M154" s="1"/>
      <c r="N154" s="1" t="s">
        <v>52</v>
      </c>
      <c r="O154" s="1" t="s">
        <v>53</v>
      </c>
      <c r="P154" s="1" t="s">
        <v>54</v>
      </c>
      <c r="Q154" s="1" t="s">
        <v>55</v>
      </c>
      <c r="R154" s="1" t="s">
        <v>56</v>
      </c>
      <c r="S154" s="1" t="s">
        <v>10</v>
      </c>
      <c r="T154" s="8"/>
      <c r="U154" s="8"/>
      <c r="V154" s="1"/>
    </row>
    <row r="155" spans="1:22" ht="30" hidden="1" x14ac:dyDescent="0.25">
      <c r="A155" s="1" t="s">
        <v>458</v>
      </c>
      <c r="B155" s="1" t="s">
        <v>44</v>
      </c>
      <c r="C155" s="1" t="s">
        <v>45</v>
      </c>
      <c r="D155" s="1" t="s">
        <v>459</v>
      </c>
      <c r="E155" s="1" t="s">
        <v>47</v>
      </c>
      <c r="F155" s="1" t="s">
        <v>457</v>
      </c>
      <c r="G155" s="1" t="s">
        <v>66</v>
      </c>
      <c r="H155" s="7" t="s">
        <v>51</v>
      </c>
      <c r="I155" s="7" t="s">
        <v>50</v>
      </c>
      <c r="J155" s="7" t="s">
        <v>50</v>
      </c>
      <c r="K155" s="7" t="s">
        <v>51</v>
      </c>
      <c r="L155" s="1">
        <v>0</v>
      </c>
      <c r="M155" s="1"/>
      <c r="N155" s="1" t="s">
        <v>52</v>
      </c>
      <c r="O155" s="1" t="s">
        <v>53</v>
      </c>
      <c r="P155" s="1" t="s">
        <v>54</v>
      </c>
      <c r="Q155" s="1" t="s">
        <v>55</v>
      </c>
      <c r="R155" s="1" t="s">
        <v>56</v>
      </c>
      <c r="S155" s="1" t="s">
        <v>10</v>
      </c>
      <c r="T155" s="8"/>
      <c r="U155" s="8"/>
      <c r="V155" s="1"/>
    </row>
    <row r="156" spans="1:22" ht="30" hidden="1" x14ac:dyDescent="0.25">
      <c r="A156" s="1" t="s">
        <v>460</v>
      </c>
      <c r="B156" s="1" t="s">
        <v>44</v>
      </c>
      <c r="C156" s="1" t="s">
        <v>45</v>
      </c>
      <c r="D156" s="1" t="s">
        <v>461</v>
      </c>
      <c r="E156" s="1" t="s">
        <v>47</v>
      </c>
      <c r="F156" s="1" t="s">
        <v>457</v>
      </c>
      <c r="G156" s="1" t="s">
        <v>66</v>
      </c>
      <c r="H156" s="7" t="s">
        <v>51</v>
      </c>
      <c r="I156" s="7" t="s">
        <v>50</v>
      </c>
      <c r="J156" s="7" t="s">
        <v>50</v>
      </c>
      <c r="K156" s="7" t="s">
        <v>51</v>
      </c>
      <c r="L156" s="1">
        <v>0</v>
      </c>
      <c r="M156" s="1"/>
      <c r="N156" s="1" t="s">
        <v>52</v>
      </c>
      <c r="O156" s="1" t="s">
        <v>53</v>
      </c>
      <c r="P156" s="1" t="s">
        <v>54</v>
      </c>
      <c r="Q156" s="1" t="s">
        <v>55</v>
      </c>
      <c r="R156" s="1" t="s">
        <v>56</v>
      </c>
      <c r="S156" s="1" t="s">
        <v>10</v>
      </c>
      <c r="T156" s="8"/>
      <c r="U156" s="8"/>
      <c r="V156" s="1"/>
    </row>
    <row r="157" spans="1:22" ht="30" hidden="1" x14ac:dyDescent="0.25">
      <c r="A157" s="1" t="s">
        <v>462</v>
      </c>
      <c r="B157" s="1" t="s">
        <v>44</v>
      </c>
      <c r="C157" s="1" t="s">
        <v>45</v>
      </c>
      <c r="D157" s="1" t="s">
        <v>463</v>
      </c>
      <c r="E157" s="1" t="s">
        <v>47</v>
      </c>
      <c r="F157" s="1" t="s">
        <v>457</v>
      </c>
      <c r="G157" s="1" t="s">
        <v>66</v>
      </c>
      <c r="H157" s="7" t="s">
        <v>51</v>
      </c>
      <c r="I157" s="7" t="s">
        <v>50</v>
      </c>
      <c r="J157" s="7" t="s">
        <v>50</v>
      </c>
      <c r="K157" s="7" t="s">
        <v>51</v>
      </c>
      <c r="L157" s="1">
        <v>0</v>
      </c>
      <c r="M157" s="1"/>
      <c r="N157" s="1" t="s">
        <v>52</v>
      </c>
      <c r="O157" s="1" t="s">
        <v>81</v>
      </c>
      <c r="P157" s="1" t="s">
        <v>82</v>
      </c>
      <c r="Q157" s="1" t="s">
        <v>55</v>
      </c>
      <c r="R157" s="1" t="s">
        <v>56</v>
      </c>
      <c r="S157" s="1" t="s">
        <v>10</v>
      </c>
      <c r="T157" s="8"/>
      <c r="U157" s="8"/>
      <c r="V157" s="1"/>
    </row>
    <row r="158" spans="1:22" ht="30" hidden="1" x14ac:dyDescent="0.25">
      <c r="A158" s="1" t="s">
        <v>464</v>
      </c>
      <c r="B158" s="1" t="s">
        <v>44</v>
      </c>
      <c r="C158" s="1" t="s">
        <v>45</v>
      </c>
      <c r="D158" s="1" t="s">
        <v>465</v>
      </c>
      <c r="E158" s="1" t="s">
        <v>47</v>
      </c>
      <c r="F158" s="1" t="s">
        <v>457</v>
      </c>
      <c r="G158" s="1" t="s">
        <v>66</v>
      </c>
      <c r="H158" s="7" t="s">
        <v>51</v>
      </c>
      <c r="I158" s="7" t="s">
        <v>50</v>
      </c>
      <c r="J158" s="7" t="s">
        <v>50</v>
      </c>
      <c r="K158" s="7" t="s">
        <v>51</v>
      </c>
      <c r="L158" s="1">
        <v>0</v>
      </c>
      <c r="M158" s="1"/>
      <c r="N158" s="1" t="s">
        <v>52</v>
      </c>
      <c r="O158" s="1" t="s">
        <v>53</v>
      </c>
      <c r="P158" s="1" t="s">
        <v>54</v>
      </c>
      <c r="Q158" s="1" t="s">
        <v>55</v>
      </c>
      <c r="R158" s="1" t="s">
        <v>56</v>
      </c>
      <c r="S158" s="1" t="s">
        <v>10</v>
      </c>
      <c r="T158" s="8"/>
      <c r="U158" s="8"/>
      <c r="V158" s="1"/>
    </row>
    <row r="159" spans="1:22" ht="30" hidden="1" x14ac:dyDescent="0.25">
      <c r="A159" s="1" t="s">
        <v>466</v>
      </c>
      <c r="B159" s="1" t="s">
        <v>44</v>
      </c>
      <c r="C159" s="1" t="s">
        <v>45</v>
      </c>
      <c r="D159" s="1" t="s">
        <v>467</v>
      </c>
      <c r="E159" s="1" t="s">
        <v>178</v>
      </c>
      <c r="F159" s="1" t="s">
        <v>457</v>
      </c>
      <c r="G159" s="1" t="s">
        <v>179</v>
      </c>
      <c r="H159" s="7" t="s">
        <v>51</v>
      </c>
      <c r="I159" s="7" t="s">
        <v>50</v>
      </c>
      <c r="J159" s="7" t="s">
        <v>50</v>
      </c>
      <c r="K159" s="7" t="s">
        <v>51</v>
      </c>
      <c r="L159" s="1">
        <v>0</v>
      </c>
      <c r="M159" s="1"/>
      <c r="N159" s="1" t="s">
        <v>52</v>
      </c>
      <c r="O159" s="1" t="s">
        <v>81</v>
      </c>
      <c r="P159" s="1" t="s">
        <v>82</v>
      </c>
      <c r="Q159" s="1" t="s">
        <v>55</v>
      </c>
      <c r="R159" s="1" t="s">
        <v>56</v>
      </c>
      <c r="S159" s="1" t="s">
        <v>10</v>
      </c>
      <c r="T159" s="8"/>
      <c r="U159" s="8"/>
      <c r="V159" s="1"/>
    </row>
    <row r="160" spans="1:22" ht="30" hidden="1" x14ac:dyDescent="0.25">
      <c r="A160" s="1" t="s">
        <v>468</v>
      </c>
      <c r="B160" s="1" t="s">
        <v>44</v>
      </c>
      <c r="C160" s="1" t="s">
        <v>45</v>
      </c>
      <c r="D160" s="1" t="s">
        <v>469</v>
      </c>
      <c r="E160" s="1" t="s">
        <v>178</v>
      </c>
      <c r="F160" s="1" t="s">
        <v>457</v>
      </c>
      <c r="G160" s="1" t="s">
        <v>179</v>
      </c>
      <c r="H160" s="7" t="s">
        <v>51</v>
      </c>
      <c r="I160" s="7" t="s">
        <v>50</v>
      </c>
      <c r="J160" s="7" t="s">
        <v>50</v>
      </c>
      <c r="K160" s="7" t="s">
        <v>51</v>
      </c>
      <c r="L160" s="1">
        <v>0</v>
      </c>
      <c r="M160" s="1"/>
      <c r="N160" s="1" t="s">
        <v>52</v>
      </c>
      <c r="O160" s="1" t="s">
        <v>81</v>
      </c>
      <c r="P160" s="1" t="s">
        <v>82</v>
      </c>
      <c r="Q160" s="1" t="s">
        <v>55</v>
      </c>
      <c r="R160" s="1" t="s">
        <v>56</v>
      </c>
      <c r="S160" s="1" t="s">
        <v>10</v>
      </c>
      <c r="T160" s="8"/>
      <c r="U160" s="8"/>
      <c r="V160" s="1"/>
    </row>
    <row r="161" spans="1:22" ht="30" hidden="1" x14ac:dyDescent="0.25">
      <c r="A161" s="1" t="s">
        <v>470</v>
      </c>
      <c r="B161" s="1" t="s">
        <v>44</v>
      </c>
      <c r="C161" s="1" t="s">
        <v>45</v>
      </c>
      <c r="D161" s="1" t="s">
        <v>471</v>
      </c>
      <c r="E161" s="1" t="s">
        <v>178</v>
      </c>
      <c r="F161" s="1" t="s">
        <v>457</v>
      </c>
      <c r="G161" s="1" t="s">
        <v>66</v>
      </c>
      <c r="H161" s="7" t="s">
        <v>51</v>
      </c>
      <c r="I161" s="7" t="s">
        <v>50</v>
      </c>
      <c r="J161" s="7" t="s">
        <v>50</v>
      </c>
      <c r="K161" s="7" t="s">
        <v>51</v>
      </c>
      <c r="L161" s="1">
        <v>0</v>
      </c>
      <c r="M161" s="1"/>
      <c r="N161" s="1" t="s">
        <v>52</v>
      </c>
      <c r="O161" s="1" t="s">
        <v>53</v>
      </c>
      <c r="P161" s="1" t="s">
        <v>54</v>
      </c>
      <c r="Q161" s="1" t="s">
        <v>55</v>
      </c>
      <c r="R161" s="1" t="s">
        <v>56</v>
      </c>
      <c r="S161" s="1" t="s">
        <v>10</v>
      </c>
      <c r="T161" s="8"/>
      <c r="U161" s="8"/>
      <c r="V161" s="1"/>
    </row>
    <row r="162" spans="1:22" ht="30" hidden="1" x14ac:dyDescent="0.25">
      <c r="A162" s="1" t="s">
        <v>472</v>
      </c>
      <c r="B162" s="1" t="s">
        <v>44</v>
      </c>
      <c r="C162" s="1" t="s">
        <v>45</v>
      </c>
      <c r="D162" s="1" t="s">
        <v>473</v>
      </c>
      <c r="E162" s="1" t="s">
        <v>47</v>
      </c>
      <c r="F162" s="1" t="s">
        <v>474</v>
      </c>
      <c r="G162" s="1" t="s">
        <v>49</v>
      </c>
      <c r="H162" s="7" t="s">
        <v>51</v>
      </c>
      <c r="I162" s="7" t="s">
        <v>50</v>
      </c>
      <c r="J162" s="7" t="s">
        <v>50</v>
      </c>
      <c r="K162" s="7" t="s">
        <v>51</v>
      </c>
      <c r="L162" s="1">
        <v>0</v>
      </c>
      <c r="M162" s="1"/>
      <c r="N162" s="1" t="s">
        <v>52</v>
      </c>
      <c r="O162" s="1" t="s">
        <v>53</v>
      </c>
      <c r="P162" s="1" t="s">
        <v>54</v>
      </c>
      <c r="Q162" s="1" t="s">
        <v>55</v>
      </c>
      <c r="R162" s="1" t="s">
        <v>56</v>
      </c>
      <c r="S162" s="1" t="s">
        <v>10</v>
      </c>
      <c r="T162" s="8"/>
      <c r="U162" s="8"/>
      <c r="V162" s="1"/>
    </row>
    <row r="163" spans="1:22" ht="30" hidden="1" x14ac:dyDescent="0.25">
      <c r="A163" s="1" t="s">
        <v>475</v>
      </c>
      <c r="B163" s="1" t="s">
        <v>44</v>
      </c>
      <c r="C163" s="1" t="s">
        <v>45</v>
      </c>
      <c r="D163" s="1" t="s">
        <v>476</v>
      </c>
      <c r="E163" s="1" t="s">
        <v>47</v>
      </c>
      <c r="F163" s="1" t="s">
        <v>474</v>
      </c>
      <c r="G163" s="1" t="s">
        <v>49</v>
      </c>
      <c r="H163" s="7" t="s">
        <v>51</v>
      </c>
      <c r="I163" s="7" t="s">
        <v>50</v>
      </c>
      <c r="J163" s="7" t="s">
        <v>50</v>
      </c>
      <c r="K163" s="7" t="s">
        <v>51</v>
      </c>
      <c r="L163" s="1">
        <v>0</v>
      </c>
      <c r="M163" s="1"/>
      <c r="N163" s="1" t="s">
        <v>52</v>
      </c>
      <c r="O163" s="1" t="s">
        <v>53</v>
      </c>
      <c r="P163" s="1" t="s">
        <v>54</v>
      </c>
      <c r="Q163" s="1" t="s">
        <v>55</v>
      </c>
      <c r="R163" s="1" t="s">
        <v>56</v>
      </c>
      <c r="S163" s="1" t="s">
        <v>10</v>
      </c>
      <c r="T163" s="8"/>
      <c r="U163" s="8"/>
      <c r="V163" s="1"/>
    </row>
    <row r="164" spans="1:22" ht="60" hidden="1" x14ac:dyDescent="0.25">
      <c r="A164" s="1" t="s">
        <v>477</v>
      </c>
      <c r="B164" s="1" t="s">
        <v>44</v>
      </c>
      <c r="C164" s="1" t="s">
        <v>45</v>
      </c>
      <c r="D164" s="1" t="s">
        <v>478</v>
      </c>
      <c r="E164" s="1" t="s">
        <v>47</v>
      </c>
      <c r="F164" s="1" t="s">
        <v>474</v>
      </c>
      <c r="G164" s="1" t="s">
        <v>66</v>
      </c>
      <c r="H164" s="7" t="s">
        <v>50</v>
      </c>
      <c r="I164" s="7" t="s">
        <v>50</v>
      </c>
      <c r="J164" s="7" t="s">
        <v>50</v>
      </c>
      <c r="K164" s="7" t="s">
        <v>51</v>
      </c>
      <c r="L164" s="1">
        <v>1</v>
      </c>
      <c r="M164" s="1"/>
      <c r="N164" s="1" t="s">
        <v>52</v>
      </c>
      <c r="O164" s="1" t="s">
        <v>53</v>
      </c>
      <c r="P164" s="1" t="s">
        <v>54</v>
      </c>
      <c r="Q164" s="1" t="s">
        <v>55</v>
      </c>
      <c r="R164" s="1" t="s">
        <v>56</v>
      </c>
      <c r="S164" s="1" t="s">
        <v>10</v>
      </c>
      <c r="T164" s="8"/>
      <c r="U164" s="8"/>
      <c r="V164" s="1" t="s">
        <v>479</v>
      </c>
    </row>
    <row r="165" spans="1:22" ht="30" hidden="1" x14ac:dyDescent="0.25">
      <c r="A165" s="1" t="s">
        <v>480</v>
      </c>
      <c r="B165" s="1" t="s">
        <v>44</v>
      </c>
      <c r="C165" s="1" t="s">
        <v>45</v>
      </c>
      <c r="D165" s="1" t="s">
        <v>481</v>
      </c>
      <c r="E165" s="1" t="s">
        <v>47</v>
      </c>
      <c r="F165" s="1" t="s">
        <v>474</v>
      </c>
      <c r="G165" s="1" t="s">
        <v>66</v>
      </c>
      <c r="H165" s="7" t="s">
        <v>51</v>
      </c>
      <c r="I165" s="7" t="s">
        <v>50</v>
      </c>
      <c r="J165" s="7" t="s">
        <v>51</v>
      </c>
      <c r="K165" s="7" t="s">
        <v>51</v>
      </c>
      <c r="L165" s="1">
        <v>0</v>
      </c>
      <c r="M165" s="1"/>
      <c r="N165" s="1" t="s">
        <v>52</v>
      </c>
      <c r="O165" s="1" t="s">
        <v>53</v>
      </c>
      <c r="P165" s="1" t="s">
        <v>54</v>
      </c>
      <c r="Q165" s="1" t="s">
        <v>55</v>
      </c>
      <c r="R165" s="1" t="s">
        <v>94</v>
      </c>
      <c r="S165" s="1" t="s">
        <v>18</v>
      </c>
      <c r="T165" s="8"/>
      <c r="U165" s="8"/>
      <c r="V165" s="1"/>
    </row>
    <row r="166" spans="1:22" ht="30" hidden="1" x14ac:dyDescent="0.25">
      <c r="A166" s="1" t="s">
        <v>482</v>
      </c>
      <c r="B166" s="1" t="s">
        <v>44</v>
      </c>
      <c r="C166" s="1" t="s">
        <v>45</v>
      </c>
      <c r="D166" s="1" t="s">
        <v>483</v>
      </c>
      <c r="E166" s="1" t="s">
        <v>47</v>
      </c>
      <c r="F166" s="1" t="s">
        <v>474</v>
      </c>
      <c r="G166" s="1" t="s">
        <v>66</v>
      </c>
      <c r="H166" s="7" t="s">
        <v>51</v>
      </c>
      <c r="I166" s="7" t="s">
        <v>50</v>
      </c>
      <c r="J166" s="7" t="s">
        <v>50</v>
      </c>
      <c r="K166" s="7" t="s">
        <v>51</v>
      </c>
      <c r="L166" s="1">
        <v>0</v>
      </c>
      <c r="M166" s="1"/>
      <c r="N166" s="1" t="s">
        <v>52</v>
      </c>
      <c r="O166" s="1" t="s">
        <v>53</v>
      </c>
      <c r="P166" s="1" t="s">
        <v>54</v>
      </c>
      <c r="Q166" s="1" t="s">
        <v>55</v>
      </c>
      <c r="R166" s="1" t="s">
        <v>56</v>
      </c>
      <c r="S166" s="1" t="s">
        <v>10</v>
      </c>
      <c r="T166" s="8"/>
      <c r="U166" s="8"/>
      <c r="V166" s="1"/>
    </row>
    <row r="167" spans="1:22" ht="30" hidden="1" x14ac:dyDescent="0.25">
      <c r="A167" s="1" t="s">
        <v>484</v>
      </c>
      <c r="B167" s="1" t="s">
        <v>44</v>
      </c>
      <c r="C167" s="1" t="s">
        <v>45</v>
      </c>
      <c r="D167" s="1" t="s">
        <v>485</v>
      </c>
      <c r="E167" s="1" t="s">
        <v>47</v>
      </c>
      <c r="F167" s="1" t="s">
        <v>474</v>
      </c>
      <c r="G167" s="1" t="s">
        <v>66</v>
      </c>
      <c r="H167" s="7" t="s">
        <v>51</v>
      </c>
      <c r="I167" s="7" t="s">
        <v>50</v>
      </c>
      <c r="J167" s="7" t="s">
        <v>50</v>
      </c>
      <c r="K167" s="7" t="s">
        <v>51</v>
      </c>
      <c r="L167" s="1">
        <v>0</v>
      </c>
      <c r="M167" s="1"/>
      <c r="N167" s="1" t="s">
        <v>52</v>
      </c>
      <c r="O167" s="1" t="s">
        <v>53</v>
      </c>
      <c r="P167" s="1" t="s">
        <v>54</v>
      </c>
      <c r="Q167" s="1" t="s">
        <v>55</v>
      </c>
      <c r="R167" s="1" t="s">
        <v>56</v>
      </c>
      <c r="S167" s="1" t="s">
        <v>10</v>
      </c>
      <c r="T167" s="8"/>
      <c r="U167" s="8"/>
      <c r="V167" s="1"/>
    </row>
    <row r="168" spans="1:22" ht="30" hidden="1" x14ac:dyDescent="0.25">
      <c r="A168" s="1" t="s">
        <v>486</v>
      </c>
      <c r="B168" s="1" t="s">
        <v>44</v>
      </c>
      <c r="C168" s="1" t="s">
        <v>45</v>
      </c>
      <c r="D168" s="1" t="s">
        <v>487</v>
      </c>
      <c r="E168" s="1" t="s">
        <v>47</v>
      </c>
      <c r="F168" s="1" t="s">
        <v>474</v>
      </c>
      <c r="G168" s="1" t="s">
        <v>66</v>
      </c>
      <c r="H168" s="7" t="s">
        <v>51</v>
      </c>
      <c r="I168" s="7" t="s">
        <v>50</v>
      </c>
      <c r="J168" s="7" t="s">
        <v>50</v>
      </c>
      <c r="K168" s="7" t="s">
        <v>51</v>
      </c>
      <c r="L168" s="1">
        <v>0</v>
      </c>
      <c r="M168" s="1"/>
      <c r="N168" s="1" t="s">
        <v>52</v>
      </c>
      <c r="O168" s="1" t="s">
        <v>53</v>
      </c>
      <c r="P168" s="1" t="s">
        <v>54</v>
      </c>
      <c r="Q168" s="1" t="s">
        <v>55</v>
      </c>
      <c r="R168" s="1" t="s">
        <v>56</v>
      </c>
      <c r="S168" s="1" t="s">
        <v>10</v>
      </c>
      <c r="T168" s="8"/>
      <c r="U168" s="8"/>
      <c r="V168" s="1"/>
    </row>
    <row r="169" spans="1:22" ht="30" hidden="1" x14ac:dyDescent="0.25">
      <c r="A169" s="1" t="s">
        <v>488</v>
      </c>
      <c r="B169" s="1" t="s">
        <v>44</v>
      </c>
      <c r="C169" s="1" t="s">
        <v>45</v>
      </c>
      <c r="D169" s="1" t="s">
        <v>489</v>
      </c>
      <c r="E169" s="1" t="s">
        <v>47</v>
      </c>
      <c r="F169" s="1" t="s">
        <v>474</v>
      </c>
      <c r="G169" s="1" t="s">
        <v>66</v>
      </c>
      <c r="H169" s="7" t="s">
        <v>51</v>
      </c>
      <c r="I169" s="7" t="s">
        <v>50</v>
      </c>
      <c r="J169" s="7" t="s">
        <v>50</v>
      </c>
      <c r="K169" s="7" t="s">
        <v>51</v>
      </c>
      <c r="L169" s="1">
        <v>0</v>
      </c>
      <c r="M169" s="1"/>
      <c r="N169" s="1" t="s">
        <v>52</v>
      </c>
      <c r="O169" s="1" t="s">
        <v>81</v>
      </c>
      <c r="P169" s="1" t="s">
        <v>82</v>
      </c>
      <c r="Q169" s="1" t="s">
        <v>55</v>
      </c>
      <c r="R169" s="1" t="s">
        <v>56</v>
      </c>
      <c r="S169" s="1" t="s">
        <v>10</v>
      </c>
      <c r="T169" s="8"/>
      <c r="U169" s="8"/>
      <c r="V169" s="1"/>
    </row>
    <row r="170" spans="1:22" ht="30" hidden="1" x14ac:dyDescent="0.25">
      <c r="A170" s="1" t="s">
        <v>490</v>
      </c>
      <c r="B170" s="1" t="s">
        <v>44</v>
      </c>
      <c r="C170" s="1" t="s">
        <v>45</v>
      </c>
      <c r="D170" s="1" t="s">
        <v>491</v>
      </c>
      <c r="E170" s="1" t="s">
        <v>47</v>
      </c>
      <c r="F170" s="1" t="s">
        <v>474</v>
      </c>
      <c r="G170" s="1" t="s">
        <v>66</v>
      </c>
      <c r="H170" s="7" t="s">
        <v>51</v>
      </c>
      <c r="I170" s="7" t="s">
        <v>50</v>
      </c>
      <c r="J170" s="7" t="s">
        <v>50</v>
      </c>
      <c r="K170" s="7" t="s">
        <v>51</v>
      </c>
      <c r="L170" s="1">
        <v>0</v>
      </c>
      <c r="M170" s="1"/>
      <c r="N170" s="1" t="s">
        <v>52</v>
      </c>
      <c r="O170" s="1" t="s">
        <v>81</v>
      </c>
      <c r="P170" s="1" t="s">
        <v>82</v>
      </c>
      <c r="Q170" s="1" t="s">
        <v>55</v>
      </c>
      <c r="R170" s="1" t="s">
        <v>56</v>
      </c>
      <c r="S170" s="1" t="s">
        <v>10</v>
      </c>
      <c r="T170" s="8"/>
      <c r="U170" s="8"/>
      <c r="V170" s="1"/>
    </row>
    <row r="171" spans="1:22" ht="30" hidden="1" x14ac:dyDescent="0.25">
      <c r="A171" s="1" t="s">
        <v>492</v>
      </c>
      <c r="B171" s="1" t="s">
        <v>44</v>
      </c>
      <c r="C171" s="1" t="s">
        <v>45</v>
      </c>
      <c r="D171" s="1" t="s">
        <v>493</v>
      </c>
      <c r="E171" s="1" t="s">
        <v>47</v>
      </c>
      <c r="F171" s="1" t="s">
        <v>474</v>
      </c>
      <c r="G171" s="1" t="s">
        <v>66</v>
      </c>
      <c r="H171" s="7" t="s">
        <v>51</v>
      </c>
      <c r="I171" s="7" t="s">
        <v>50</v>
      </c>
      <c r="J171" s="7" t="s">
        <v>50</v>
      </c>
      <c r="K171" s="7" t="s">
        <v>51</v>
      </c>
      <c r="L171" s="1">
        <v>0</v>
      </c>
      <c r="M171" s="1"/>
      <c r="N171" s="1" t="s">
        <v>52</v>
      </c>
      <c r="O171" s="1" t="s">
        <v>53</v>
      </c>
      <c r="P171" s="1" t="s">
        <v>54</v>
      </c>
      <c r="Q171" s="1" t="s">
        <v>55</v>
      </c>
      <c r="R171" s="1" t="s">
        <v>56</v>
      </c>
      <c r="S171" s="1" t="s">
        <v>10</v>
      </c>
      <c r="T171" s="8"/>
      <c r="U171" s="8"/>
      <c r="V171" s="1"/>
    </row>
    <row r="172" spans="1:22" ht="30" hidden="1" x14ac:dyDescent="0.25">
      <c r="A172" s="1" t="s">
        <v>494</v>
      </c>
      <c r="B172" s="1" t="s">
        <v>44</v>
      </c>
      <c r="C172" s="1" t="s">
        <v>45</v>
      </c>
      <c r="D172" s="1" t="s">
        <v>495</v>
      </c>
      <c r="E172" s="1" t="s">
        <v>47</v>
      </c>
      <c r="F172" s="1" t="s">
        <v>474</v>
      </c>
      <c r="G172" s="1" t="s">
        <v>66</v>
      </c>
      <c r="H172" s="7" t="s">
        <v>51</v>
      </c>
      <c r="I172" s="7" t="s">
        <v>50</v>
      </c>
      <c r="J172" s="7" t="s">
        <v>50</v>
      </c>
      <c r="K172" s="7" t="s">
        <v>51</v>
      </c>
      <c r="L172" s="1">
        <v>0</v>
      </c>
      <c r="M172" s="1"/>
      <c r="N172" s="1" t="s">
        <v>52</v>
      </c>
      <c r="O172" s="1" t="s">
        <v>53</v>
      </c>
      <c r="P172" s="1" t="s">
        <v>54</v>
      </c>
      <c r="Q172" s="1" t="s">
        <v>55</v>
      </c>
      <c r="R172" s="1" t="s">
        <v>56</v>
      </c>
      <c r="S172" s="1" t="s">
        <v>10</v>
      </c>
      <c r="T172" s="8"/>
      <c r="U172" s="8"/>
      <c r="V172" s="1"/>
    </row>
    <row r="173" spans="1:22" ht="60" hidden="1" x14ac:dyDescent="0.25">
      <c r="A173" s="1" t="s">
        <v>496</v>
      </c>
      <c r="B173" s="1" t="s">
        <v>44</v>
      </c>
      <c r="C173" s="1" t="s">
        <v>45</v>
      </c>
      <c r="D173" s="1" t="s">
        <v>497</v>
      </c>
      <c r="E173" s="1" t="s">
        <v>92</v>
      </c>
      <c r="F173" s="1" t="s">
        <v>474</v>
      </c>
      <c r="G173" s="1" t="s">
        <v>93</v>
      </c>
      <c r="H173" s="7" t="s">
        <v>50</v>
      </c>
      <c r="I173" s="7" t="s">
        <v>50</v>
      </c>
      <c r="J173" s="7" t="s">
        <v>50</v>
      </c>
      <c r="K173" s="7" t="s">
        <v>51</v>
      </c>
      <c r="L173" s="1">
        <v>1</v>
      </c>
      <c r="M173" s="1"/>
      <c r="N173" s="1" t="s">
        <v>52</v>
      </c>
      <c r="O173" s="1" t="s">
        <v>81</v>
      </c>
      <c r="P173" s="1" t="s">
        <v>82</v>
      </c>
      <c r="Q173" s="1" t="s">
        <v>55</v>
      </c>
      <c r="R173" s="1" t="s">
        <v>56</v>
      </c>
      <c r="S173" s="1" t="s">
        <v>10</v>
      </c>
      <c r="T173" s="8"/>
      <c r="U173" s="8"/>
      <c r="V173" s="1" t="s">
        <v>498</v>
      </c>
    </row>
    <row r="174" spans="1:22" ht="135" hidden="1" x14ac:dyDescent="0.25">
      <c r="A174" s="1" t="s">
        <v>499</v>
      </c>
      <c r="B174" s="1" t="s">
        <v>44</v>
      </c>
      <c r="C174" s="1" t="s">
        <v>45</v>
      </c>
      <c r="D174" s="1" t="s">
        <v>500</v>
      </c>
      <c r="E174" s="1" t="s">
        <v>92</v>
      </c>
      <c r="F174" s="1" t="s">
        <v>474</v>
      </c>
      <c r="G174" s="1" t="s">
        <v>93</v>
      </c>
      <c r="H174" s="7" t="s">
        <v>50</v>
      </c>
      <c r="I174" s="7" t="s">
        <v>50</v>
      </c>
      <c r="J174" s="7" t="s">
        <v>50</v>
      </c>
      <c r="K174" s="7" t="s">
        <v>51</v>
      </c>
      <c r="L174" s="1">
        <v>2</v>
      </c>
      <c r="M174" s="1"/>
      <c r="N174" s="1" t="s">
        <v>52</v>
      </c>
      <c r="O174" s="1" t="s">
        <v>81</v>
      </c>
      <c r="P174" s="1" t="s">
        <v>82</v>
      </c>
      <c r="Q174" s="1" t="s">
        <v>55</v>
      </c>
      <c r="R174" s="1" t="s">
        <v>56</v>
      </c>
      <c r="S174" s="1" t="s">
        <v>10</v>
      </c>
      <c r="T174" s="8"/>
      <c r="U174" s="8"/>
      <c r="V174" s="1" t="s">
        <v>501</v>
      </c>
    </row>
    <row r="175" spans="1:22" ht="60" hidden="1" x14ac:dyDescent="0.25">
      <c r="A175" s="1" t="s">
        <v>502</v>
      </c>
      <c r="B175" s="1" t="s">
        <v>44</v>
      </c>
      <c r="C175" s="1" t="s">
        <v>45</v>
      </c>
      <c r="D175" s="1" t="s">
        <v>503</v>
      </c>
      <c r="E175" s="1" t="s">
        <v>92</v>
      </c>
      <c r="F175" s="1" t="s">
        <v>474</v>
      </c>
      <c r="G175" s="1" t="s">
        <v>98</v>
      </c>
      <c r="H175" s="7" t="s">
        <v>50</v>
      </c>
      <c r="I175" s="7" t="s">
        <v>50</v>
      </c>
      <c r="J175" s="7" t="s">
        <v>51</v>
      </c>
      <c r="K175" s="7" t="s">
        <v>51</v>
      </c>
      <c r="L175" s="1">
        <v>1</v>
      </c>
      <c r="M175" s="1"/>
      <c r="N175" s="1" t="s">
        <v>52</v>
      </c>
      <c r="O175" s="1" t="s">
        <v>81</v>
      </c>
      <c r="P175" s="1" t="s">
        <v>82</v>
      </c>
      <c r="Q175" s="1" t="s">
        <v>55</v>
      </c>
      <c r="R175" s="1" t="s">
        <v>94</v>
      </c>
      <c r="S175" s="1" t="s">
        <v>18</v>
      </c>
      <c r="T175" s="8"/>
      <c r="U175" s="8"/>
      <c r="V175" s="1" t="s">
        <v>504</v>
      </c>
    </row>
    <row r="176" spans="1:22" ht="30" hidden="1" x14ac:dyDescent="0.25">
      <c r="A176" s="1" t="s">
        <v>505</v>
      </c>
      <c r="B176" s="1" t="s">
        <v>44</v>
      </c>
      <c r="C176" s="1" t="s">
        <v>45</v>
      </c>
      <c r="D176" s="1" t="s">
        <v>506</v>
      </c>
      <c r="E176" s="1" t="s">
        <v>92</v>
      </c>
      <c r="F176" s="1" t="s">
        <v>474</v>
      </c>
      <c r="G176" s="1" t="s">
        <v>98</v>
      </c>
      <c r="H176" s="7" t="s">
        <v>51</v>
      </c>
      <c r="I176" s="7" t="s">
        <v>50</v>
      </c>
      <c r="J176" s="7" t="s">
        <v>51</v>
      </c>
      <c r="K176" s="7" t="s">
        <v>51</v>
      </c>
      <c r="L176" s="1">
        <v>0</v>
      </c>
      <c r="M176" s="1"/>
      <c r="N176" s="1" t="s">
        <v>77</v>
      </c>
      <c r="O176" s="1" t="s">
        <v>81</v>
      </c>
      <c r="P176" s="1" t="s">
        <v>82</v>
      </c>
      <c r="Q176" s="1" t="s">
        <v>55</v>
      </c>
      <c r="R176" s="1" t="s">
        <v>78</v>
      </c>
      <c r="S176" s="1" t="s">
        <v>16</v>
      </c>
      <c r="T176" s="8"/>
      <c r="U176" s="8"/>
      <c r="V176" s="1"/>
    </row>
    <row r="177" spans="1:22" ht="120" hidden="1" x14ac:dyDescent="0.25">
      <c r="A177" s="1" t="s">
        <v>507</v>
      </c>
      <c r="B177" s="1" t="s">
        <v>44</v>
      </c>
      <c r="C177" s="1" t="s">
        <v>45</v>
      </c>
      <c r="D177" s="1" t="s">
        <v>508</v>
      </c>
      <c r="E177" s="1" t="s">
        <v>92</v>
      </c>
      <c r="F177" s="1" t="s">
        <v>474</v>
      </c>
      <c r="G177" s="1" t="s">
        <v>93</v>
      </c>
      <c r="H177" s="7" t="s">
        <v>50</v>
      </c>
      <c r="I177" s="7" t="s">
        <v>50</v>
      </c>
      <c r="J177" s="7" t="s">
        <v>50</v>
      </c>
      <c r="K177" s="7" t="s">
        <v>51</v>
      </c>
      <c r="L177" s="1">
        <v>2</v>
      </c>
      <c r="M177" s="1"/>
      <c r="N177" s="1" t="s">
        <v>52</v>
      </c>
      <c r="O177" s="1" t="s">
        <v>81</v>
      </c>
      <c r="P177" s="1" t="s">
        <v>82</v>
      </c>
      <c r="Q177" s="1" t="s">
        <v>55</v>
      </c>
      <c r="R177" s="1" t="s">
        <v>56</v>
      </c>
      <c r="S177" s="1" t="s">
        <v>10</v>
      </c>
      <c r="T177" s="8"/>
      <c r="U177" s="8"/>
      <c r="V177" s="1" t="s">
        <v>509</v>
      </c>
    </row>
    <row r="178" spans="1:22" ht="30" hidden="1" x14ac:dyDescent="0.25">
      <c r="A178" s="1" t="s">
        <v>510</v>
      </c>
      <c r="B178" s="1" t="s">
        <v>44</v>
      </c>
      <c r="C178" s="1" t="s">
        <v>45</v>
      </c>
      <c r="D178" s="1" t="s">
        <v>511</v>
      </c>
      <c r="E178" s="1" t="s">
        <v>92</v>
      </c>
      <c r="F178" s="1" t="s">
        <v>474</v>
      </c>
      <c r="G178" s="1" t="s">
        <v>179</v>
      </c>
      <c r="H178" s="7" t="s">
        <v>51</v>
      </c>
      <c r="I178" s="7" t="s">
        <v>50</v>
      </c>
      <c r="J178" s="7" t="s">
        <v>50</v>
      </c>
      <c r="K178" s="7" t="s">
        <v>51</v>
      </c>
      <c r="L178" s="1">
        <v>0</v>
      </c>
      <c r="M178" s="1"/>
      <c r="N178" s="1" t="s">
        <v>52</v>
      </c>
      <c r="O178" s="1" t="s">
        <v>81</v>
      </c>
      <c r="P178" s="1" t="s">
        <v>82</v>
      </c>
      <c r="Q178" s="1" t="s">
        <v>55</v>
      </c>
      <c r="R178" s="1" t="s">
        <v>56</v>
      </c>
      <c r="S178" s="1" t="s">
        <v>10</v>
      </c>
      <c r="T178" s="8"/>
      <c r="U178" s="8"/>
      <c r="V178" s="1"/>
    </row>
    <row r="179" spans="1:22" ht="120" hidden="1" x14ac:dyDescent="0.25">
      <c r="A179" s="1" t="s">
        <v>512</v>
      </c>
      <c r="B179" s="1" t="s">
        <v>44</v>
      </c>
      <c r="C179" s="1" t="s">
        <v>45</v>
      </c>
      <c r="D179" s="1" t="s">
        <v>513</v>
      </c>
      <c r="E179" s="1" t="s">
        <v>92</v>
      </c>
      <c r="F179" s="1" t="s">
        <v>474</v>
      </c>
      <c r="G179" s="1" t="s">
        <v>98</v>
      </c>
      <c r="H179" s="7" t="s">
        <v>50</v>
      </c>
      <c r="I179" s="7" t="s">
        <v>50</v>
      </c>
      <c r="J179" s="7" t="s">
        <v>50</v>
      </c>
      <c r="K179" s="7" t="s">
        <v>51</v>
      </c>
      <c r="L179" s="1">
        <v>4</v>
      </c>
      <c r="M179" s="1"/>
      <c r="N179" s="1" t="s">
        <v>52</v>
      </c>
      <c r="O179" s="1" t="s">
        <v>81</v>
      </c>
      <c r="P179" s="1" t="s">
        <v>82</v>
      </c>
      <c r="Q179" s="1" t="s">
        <v>55</v>
      </c>
      <c r="R179" s="1" t="s">
        <v>56</v>
      </c>
      <c r="S179" s="1" t="s">
        <v>10</v>
      </c>
      <c r="T179" s="8"/>
      <c r="U179" s="8"/>
      <c r="V179" s="1" t="s">
        <v>514</v>
      </c>
    </row>
    <row r="180" spans="1:22" ht="30" hidden="1" x14ac:dyDescent="0.25">
      <c r="A180" s="1" t="s">
        <v>515</v>
      </c>
      <c r="B180" s="1" t="s">
        <v>44</v>
      </c>
      <c r="C180" s="1" t="s">
        <v>45</v>
      </c>
      <c r="D180" s="1" t="s">
        <v>516</v>
      </c>
      <c r="E180" s="1" t="s">
        <v>92</v>
      </c>
      <c r="F180" s="1" t="s">
        <v>474</v>
      </c>
      <c r="G180" s="1" t="s">
        <v>98</v>
      </c>
      <c r="H180" s="7" t="s">
        <v>51</v>
      </c>
      <c r="I180" s="7" t="s">
        <v>50</v>
      </c>
      <c r="J180" s="7" t="s">
        <v>50</v>
      </c>
      <c r="K180" s="7" t="s">
        <v>51</v>
      </c>
      <c r="L180" s="1">
        <v>0</v>
      </c>
      <c r="M180" s="1"/>
      <c r="N180" s="1" t="s">
        <v>77</v>
      </c>
      <c r="O180" s="1" t="s">
        <v>81</v>
      </c>
      <c r="P180" s="1" t="s">
        <v>82</v>
      </c>
      <c r="Q180" s="1" t="s">
        <v>55</v>
      </c>
      <c r="R180" s="1" t="s">
        <v>78</v>
      </c>
      <c r="S180" s="1" t="s">
        <v>16</v>
      </c>
      <c r="T180" s="8"/>
      <c r="U180" s="8"/>
      <c r="V180" s="1"/>
    </row>
    <row r="181" spans="1:22" ht="30" hidden="1" x14ac:dyDescent="0.25">
      <c r="A181" s="1" t="s">
        <v>517</v>
      </c>
      <c r="B181" s="1" t="s">
        <v>44</v>
      </c>
      <c r="C181" s="1" t="s">
        <v>45</v>
      </c>
      <c r="D181" s="1" t="s">
        <v>518</v>
      </c>
      <c r="E181" s="1" t="s">
        <v>92</v>
      </c>
      <c r="F181" s="1" t="s">
        <v>474</v>
      </c>
      <c r="G181" s="1" t="s">
        <v>98</v>
      </c>
      <c r="H181" s="7" t="s">
        <v>51</v>
      </c>
      <c r="I181" s="7" t="s">
        <v>50</v>
      </c>
      <c r="J181" s="7" t="s">
        <v>51</v>
      </c>
      <c r="K181" s="7" t="s">
        <v>51</v>
      </c>
      <c r="L181" s="1">
        <v>0</v>
      </c>
      <c r="M181" s="1"/>
      <c r="N181" s="1" t="s">
        <v>52</v>
      </c>
      <c r="O181" s="1" t="s">
        <v>81</v>
      </c>
      <c r="P181" s="1" t="s">
        <v>82</v>
      </c>
      <c r="Q181" s="1" t="s">
        <v>55</v>
      </c>
      <c r="R181" s="1" t="s">
        <v>94</v>
      </c>
      <c r="S181" s="1" t="s">
        <v>18</v>
      </c>
      <c r="T181" s="8"/>
      <c r="U181" s="8"/>
      <c r="V181" s="1"/>
    </row>
    <row r="182" spans="1:22" ht="120" hidden="1" x14ac:dyDescent="0.25">
      <c r="A182" s="1" t="s">
        <v>519</v>
      </c>
      <c r="B182" s="1" t="s">
        <v>44</v>
      </c>
      <c r="C182" s="1" t="s">
        <v>45</v>
      </c>
      <c r="D182" s="1" t="s">
        <v>520</v>
      </c>
      <c r="E182" s="1" t="s">
        <v>92</v>
      </c>
      <c r="F182" s="1" t="s">
        <v>474</v>
      </c>
      <c r="G182" s="1" t="s">
        <v>98</v>
      </c>
      <c r="H182" s="7" t="s">
        <v>50</v>
      </c>
      <c r="I182" s="7" t="s">
        <v>50</v>
      </c>
      <c r="J182" s="7" t="s">
        <v>50</v>
      </c>
      <c r="K182" s="7" t="s">
        <v>51</v>
      </c>
      <c r="L182" s="1">
        <v>2</v>
      </c>
      <c r="M182" s="1"/>
      <c r="N182" s="1" t="s">
        <v>52</v>
      </c>
      <c r="O182" s="1" t="s">
        <v>81</v>
      </c>
      <c r="P182" s="1" t="s">
        <v>82</v>
      </c>
      <c r="Q182" s="1" t="s">
        <v>55</v>
      </c>
      <c r="R182" s="1" t="s">
        <v>56</v>
      </c>
      <c r="S182" s="1" t="s">
        <v>10</v>
      </c>
      <c r="T182" s="8"/>
      <c r="U182" s="8"/>
      <c r="V182" s="1" t="s">
        <v>521</v>
      </c>
    </row>
    <row r="183" spans="1:22" ht="120" hidden="1" x14ac:dyDescent="0.25">
      <c r="A183" s="1" t="s">
        <v>522</v>
      </c>
      <c r="B183" s="1" t="s">
        <v>44</v>
      </c>
      <c r="C183" s="1" t="s">
        <v>45</v>
      </c>
      <c r="D183" s="1" t="s">
        <v>523</v>
      </c>
      <c r="E183" s="1" t="s">
        <v>92</v>
      </c>
      <c r="F183" s="1" t="s">
        <v>474</v>
      </c>
      <c r="G183" s="1" t="s">
        <v>93</v>
      </c>
      <c r="H183" s="7" t="s">
        <v>50</v>
      </c>
      <c r="I183" s="7" t="s">
        <v>50</v>
      </c>
      <c r="J183" s="7" t="s">
        <v>50</v>
      </c>
      <c r="K183" s="7" t="s">
        <v>51</v>
      </c>
      <c r="L183" s="1">
        <v>2</v>
      </c>
      <c r="M183" s="1"/>
      <c r="N183" s="1" t="s">
        <v>52</v>
      </c>
      <c r="O183" s="1" t="s">
        <v>81</v>
      </c>
      <c r="P183" s="1" t="s">
        <v>82</v>
      </c>
      <c r="Q183" s="1" t="s">
        <v>55</v>
      </c>
      <c r="R183" s="1" t="s">
        <v>56</v>
      </c>
      <c r="S183" s="1" t="s">
        <v>10</v>
      </c>
      <c r="T183" s="8"/>
      <c r="U183" s="8"/>
      <c r="V183" s="1" t="s">
        <v>524</v>
      </c>
    </row>
    <row r="184" spans="1:22" ht="120" hidden="1" x14ac:dyDescent="0.25">
      <c r="A184" s="1" t="s">
        <v>525</v>
      </c>
      <c r="B184" s="1" t="s">
        <v>44</v>
      </c>
      <c r="C184" s="1" t="s">
        <v>45</v>
      </c>
      <c r="D184" s="1" t="s">
        <v>526</v>
      </c>
      <c r="E184" s="1" t="s">
        <v>92</v>
      </c>
      <c r="F184" s="1" t="s">
        <v>474</v>
      </c>
      <c r="G184" s="1" t="s">
        <v>93</v>
      </c>
      <c r="H184" s="7" t="s">
        <v>50</v>
      </c>
      <c r="I184" s="7" t="s">
        <v>50</v>
      </c>
      <c r="J184" s="7" t="s">
        <v>50</v>
      </c>
      <c r="K184" s="7" t="s">
        <v>51</v>
      </c>
      <c r="L184" s="1">
        <v>2</v>
      </c>
      <c r="M184" s="1"/>
      <c r="N184" s="1" t="s">
        <v>52</v>
      </c>
      <c r="O184" s="1" t="s">
        <v>81</v>
      </c>
      <c r="P184" s="1" t="s">
        <v>82</v>
      </c>
      <c r="Q184" s="1" t="s">
        <v>55</v>
      </c>
      <c r="R184" s="1" t="s">
        <v>56</v>
      </c>
      <c r="S184" s="1" t="s">
        <v>10</v>
      </c>
      <c r="T184" s="8"/>
      <c r="U184" s="8"/>
      <c r="V184" s="1" t="s">
        <v>527</v>
      </c>
    </row>
    <row r="185" spans="1:22" ht="120" hidden="1" x14ac:dyDescent="0.25">
      <c r="A185" s="1" t="s">
        <v>528</v>
      </c>
      <c r="B185" s="1" t="s">
        <v>44</v>
      </c>
      <c r="C185" s="1" t="s">
        <v>45</v>
      </c>
      <c r="D185" s="1" t="s">
        <v>529</v>
      </c>
      <c r="E185" s="1" t="s">
        <v>92</v>
      </c>
      <c r="F185" s="1" t="s">
        <v>474</v>
      </c>
      <c r="G185" s="1" t="s">
        <v>93</v>
      </c>
      <c r="H185" s="7" t="s">
        <v>50</v>
      </c>
      <c r="I185" s="7" t="s">
        <v>50</v>
      </c>
      <c r="J185" s="7" t="s">
        <v>50</v>
      </c>
      <c r="K185" s="7" t="s">
        <v>51</v>
      </c>
      <c r="L185" s="1">
        <v>2</v>
      </c>
      <c r="M185" s="1"/>
      <c r="N185" s="1" t="s">
        <v>52</v>
      </c>
      <c r="O185" s="1" t="s">
        <v>81</v>
      </c>
      <c r="P185" s="1" t="s">
        <v>82</v>
      </c>
      <c r="Q185" s="1" t="s">
        <v>55</v>
      </c>
      <c r="R185" s="1" t="s">
        <v>56</v>
      </c>
      <c r="S185" s="1" t="s">
        <v>10</v>
      </c>
      <c r="T185" s="8"/>
      <c r="U185" s="8"/>
      <c r="V185" s="1" t="s">
        <v>530</v>
      </c>
    </row>
    <row r="186" spans="1:22" ht="120" hidden="1" x14ac:dyDescent="0.25">
      <c r="A186" s="1" t="s">
        <v>531</v>
      </c>
      <c r="B186" s="1" t="s">
        <v>44</v>
      </c>
      <c r="C186" s="1" t="s">
        <v>45</v>
      </c>
      <c r="D186" s="1" t="s">
        <v>532</v>
      </c>
      <c r="E186" s="1" t="s">
        <v>92</v>
      </c>
      <c r="F186" s="1" t="s">
        <v>474</v>
      </c>
      <c r="G186" s="1" t="s">
        <v>93</v>
      </c>
      <c r="H186" s="7" t="s">
        <v>50</v>
      </c>
      <c r="I186" s="7" t="s">
        <v>50</v>
      </c>
      <c r="J186" s="7" t="s">
        <v>50</v>
      </c>
      <c r="K186" s="7" t="s">
        <v>51</v>
      </c>
      <c r="L186" s="1">
        <v>2</v>
      </c>
      <c r="M186" s="1"/>
      <c r="N186" s="1" t="s">
        <v>52</v>
      </c>
      <c r="O186" s="1" t="s">
        <v>81</v>
      </c>
      <c r="P186" s="1" t="s">
        <v>82</v>
      </c>
      <c r="Q186" s="1" t="s">
        <v>55</v>
      </c>
      <c r="R186" s="1" t="s">
        <v>56</v>
      </c>
      <c r="S186" s="1" t="s">
        <v>10</v>
      </c>
      <c r="T186" s="8"/>
      <c r="U186" s="8"/>
      <c r="V186" s="1" t="s">
        <v>533</v>
      </c>
    </row>
    <row r="187" spans="1:22" ht="60" hidden="1" x14ac:dyDescent="0.25">
      <c r="A187" s="1" t="s">
        <v>534</v>
      </c>
      <c r="B187" s="1" t="s">
        <v>44</v>
      </c>
      <c r="C187" s="1" t="s">
        <v>45</v>
      </c>
      <c r="D187" s="1" t="s">
        <v>535</v>
      </c>
      <c r="E187" s="1" t="s">
        <v>92</v>
      </c>
      <c r="F187" s="1" t="s">
        <v>474</v>
      </c>
      <c r="G187" s="1" t="s">
        <v>93</v>
      </c>
      <c r="H187" s="7" t="s">
        <v>50</v>
      </c>
      <c r="I187" s="7" t="s">
        <v>50</v>
      </c>
      <c r="J187" s="7" t="s">
        <v>50</v>
      </c>
      <c r="K187" s="7" t="s">
        <v>51</v>
      </c>
      <c r="L187" s="1">
        <v>1</v>
      </c>
      <c r="M187" s="1"/>
      <c r="N187" s="1" t="s">
        <v>77</v>
      </c>
      <c r="O187" s="1" t="s">
        <v>81</v>
      </c>
      <c r="P187" s="1" t="s">
        <v>82</v>
      </c>
      <c r="Q187" s="1" t="s">
        <v>55</v>
      </c>
      <c r="R187" s="1" t="s">
        <v>78</v>
      </c>
      <c r="S187" s="1" t="s">
        <v>16</v>
      </c>
      <c r="T187" s="8"/>
      <c r="U187" s="8"/>
      <c r="V187" s="1" t="s">
        <v>536</v>
      </c>
    </row>
    <row r="188" spans="1:22" ht="30" hidden="1" x14ac:dyDescent="0.25">
      <c r="A188" s="1" t="s">
        <v>537</v>
      </c>
      <c r="B188" s="1" t="s">
        <v>44</v>
      </c>
      <c r="C188" s="1" t="s">
        <v>45</v>
      </c>
      <c r="D188" s="1" t="s">
        <v>538</v>
      </c>
      <c r="E188" s="1" t="s">
        <v>92</v>
      </c>
      <c r="F188" s="1" t="s">
        <v>474</v>
      </c>
      <c r="G188" s="1" t="s">
        <v>98</v>
      </c>
      <c r="H188" s="7" t="s">
        <v>51</v>
      </c>
      <c r="I188" s="7" t="s">
        <v>50</v>
      </c>
      <c r="J188" s="7" t="s">
        <v>50</v>
      </c>
      <c r="K188" s="7" t="s">
        <v>51</v>
      </c>
      <c r="L188" s="1">
        <v>0</v>
      </c>
      <c r="M188" s="1"/>
      <c r="N188" s="1" t="s">
        <v>52</v>
      </c>
      <c r="O188" s="1" t="s">
        <v>81</v>
      </c>
      <c r="P188" s="1" t="s">
        <v>82</v>
      </c>
      <c r="Q188" s="1" t="s">
        <v>55</v>
      </c>
      <c r="R188" s="1" t="s">
        <v>56</v>
      </c>
      <c r="S188" s="1" t="s">
        <v>10</v>
      </c>
      <c r="T188" s="8"/>
      <c r="U188" s="8"/>
      <c r="V188" s="1"/>
    </row>
    <row r="189" spans="1:22" ht="120" hidden="1" x14ac:dyDescent="0.25">
      <c r="A189" s="1" t="s">
        <v>539</v>
      </c>
      <c r="B189" s="1" t="s">
        <v>44</v>
      </c>
      <c r="C189" s="1" t="s">
        <v>45</v>
      </c>
      <c r="D189" s="1" t="s">
        <v>540</v>
      </c>
      <c r="E189" s="1" t="s">
        <v>92</v>
      </c>
      <c r="F189" s="1" t="s">
        <v>474</v>
      </c>
      <c r="G189" s="1" t="s">
        <v>102</v>
      </c>
      <c r="H189" s="7" t="s">
        <v>50</v>
      </c>
      <c r="I189" s="7" t="s">
        <v>50</v>
      </c>
      <c r="J189" s="7" t="s">
        <v>50</v>
      </c>
      <c r="K189" s="7" t="s">
        <v>51</v>
      </c>
      <c r="L189" s="1">
        <v>2</v>
      </c>
      <c r="M189" s="1"/>
      <c r="N189" s="1" t="s">
        <v>52</v>
      </c>
      <c r="O189" s="1" t="s">
        <v>81</v>
      </c>
      <c r="P189" s="1" t="s">
        <v>82</v>
      </c>
      <c r="Q189" s="1" t="s">
        <v>55</v>
      </c>
      <c r="R189" s="1" t="s">
        <v>56</v>
      </c>
      <c r="S189" s="1" t="s">
        <v>10</v>
      </c>
      <c r="T189" s="8"/>
      <c r="U189" s="8"/>
      <c r="V189" s="1" t="s">
        <v>541</v>
      </c>
    </row>
    <row r="190" spans="1:22" ht="30" hidden="1" x14ac:dyDescent="0.25">
      <c r="A190" s="1" t="s">
        <v>542</v>
      </c>
      <c r="B190" s="1" t="s">
        <v>44</v>
      </c>
      <c r="C190" s="1" t="s">
        <v>45</v>
      </c>
      <c r="D190" s="1" t="s">
        <v>543</v>
      </c>
      <c r="E190" s="1" t="s">
        <v>92</v>
      </c>
      <c r="F190" s="1" t="s">
        <v>474</v>
      </c>
      <c r="G190" s="1" t="s">
        <v>98</v>
      </c>
      <c r="H190" s="7" t="s">
        <v>51</v>
      </c>
      <c r="I190" s="7" t="s">
        <v>50</v>
      </c>
      <c r="J190" s="7" t="s">
        <v>51</v>
      </c>
      <c r="K190" s="7" t="s">
        <v>51</v>
      </c>
      <c r="L190" s="1">
        <v>0</v>
      </c>
      <c r="M190" s="1"/>
      <c r="N190" s="1" t="s">
        <v>52</v>
      </c>
      <c r="O190" s="1" t="s">
        <v>81</v>
      </c>
      <c r="P190" s="1" t="s">
        <v>82</v>
      </c>
      <c r="Q190" s="1" t="s">
        <v>55</v>
      </c>
      <c r="R190" s="1" t="s">
        <v>94</v>
      </c>
      <c r="S190" s="1" t="s">
        <v>18</v>
      </c>
      <c r="T190" s="8"/>
      <c r="U190" s="8"/>
      <c r="V190" s="1"/>
    </row>
    <row r="191" spans="1:22" ht="30" hidden="1" x14ac:dyDescent="0.25">
      <c r="A191" s="1" t="s">
        <v>544</v>
      </c>
      <c r="B191" s="1" t="s">
        <v>44</v>
      </c>
      <c r="C191" s="1" t="s">
        <v>45</v>
      </c>
      <c r="D191" s="1" t="s">
        <v>545</v>
      </c>
      <c r="E191" s="1" t="s">
        <v>92</v>
      </c>
      <c r="F191" s="1" t="s">
        <v>474</v>
      </c>
      <c r="G191" s="1" t="s">
        <v>98</v>
      </c>
      <c r="H191" s="7" t="s">
        <v>51</v>
      </c>
      <c r="I191" s="7" t="s">
        <v>50</v>
      </c>
      <c r="J191" s="7" t="s">
        <v>51</v>
      </c>
      <c r="K191" s="7" t="s">
        <v>51</v>
      </c>
      <c r="L191" s="1">
        <v>0</v>
      </c>
      <c r="M191" s="1"/>
      <c r="N191" s="1" t="s">
        <v>52</v>
      </c>
      <c r="O191" s="1" t="s">
        <v>81</v>
      </c>
      <c r="P191" s="1" t="s">
        <v>82</v>
      </c>
      <c r="Q191" s="1" t="s">
        <v>55</v>
      </c>
      <c r="R191" s="1" t="s">
        <v>94</v>
      </c>
      <c r="S191" s="1" t="s">
        <v>18</v>
      </c>
      <c r="T191" s="8"/>
      <c r="U191" s="8"/>
      <c r="V191" s="1"/>
    </row>
    <row r="192" spans="1:22" ht="30" hidden="1" x14ac:dyDescent="0.25">
      <c r="A192" s="1" t="s">
        <v>546</v>
      </c>
      <c r="B192" s="1" t="s">
        <v>44</v>
      </c>
      <c r="C192" s="1" t="s">
        <v>45</v>
      </c>
      <c r="D192" s="1" t="s">
        <v>547</v>
      </c>
      <c r="E192" s="1" t="s">
        <v>92</v>
      </c>
      <c r="F192" s="1" t="s">
        <v>474</v>
      </c>
      <c r="G192" s="1" t="s">
        <v>98</v>
      </c>
      <c r="H192" s="7" t="s">
        <v>51</v>
      </c>
      <c r="I192" s="7" t="s">
        <v>50</v>
      </c>
      <c r="J192" s="7" t="s">
        <v>51</v>
      </c>
      <c r="K192" s="7" t="s">
        <v>51</v>
      </c>
      <c r="L192" s="1">
        <v>0</v>
      </c>
      <c r="M192" s="1"/>
      <c r="N192" s="1" t="s">
        <v>52</v>
      </c>
      <c r="O192" s="1" t="s">
        <v>81</v>
      </c>
      <c r="P192" s="1" t="s">
        <v>82</v>
      </c>
      <c r="Q192" s="1" t="s">
        <v>55</v>
      </c>
      <c r="R192" s="1" t="s">
        <v>94</v>
      </c>
      <c r="S192" s="1" t="s">
        <v>18</v>
      </c>
      <c r="T192" s="8"/>
      <c r="U192" s="8"/>
      <c r="V192" s="1"/>
    </row>
    <row r="193" spans="1:22" ht="30" hidden="1" x14ac:dyDescent="0.25">
      <c r="A193" s="1" t="s">
        <v>548</v>
      </c>
      <c r="B193" s="1" t="s">
        <v>44</v>
      </c>
      <c r="C193" s="1" t="s">
        <v>45</v>
      </c>
      <c r="D193" s="1" t="s">
        <v>549</v>
      </c>
      <c r="E193" s="1" t="s">
        <v>92</v>
      </c>
      <c r="F193" s="1" t="s">
        <v>474</v>
      </c>
      <c r="G193" s="1" t="s">
        <v>93</v>
      </c>
      <c r="H193" s="7" t="s">
        <v>51</v>
      </c>
      <c r="I193" s="7" t="s">
        <v>50</v>
      </c>
      <c r="J193" s="7" t="s">
        <v>51</v>
      </c>
      <c r="K193" s="7" t="s">
        <v>51</v>
      </c>
      <c r="L193" s="1">
        <v>0</v>
      </c>
      <c r="M193" s="1"/>
      <c r="N193" s="1" t="s">
        <v>52</v>
      </c>
      <c r="O193" s="1" t="s">
        <v>81</v>
      </c>
      <c r="P193" s="1" t="s">
        <v>82</v>
      </c>
      <c r="Q193" s="1" t="s">
        <v>55</v>
      </c>
      <c r="R193" s="1" t="s">
        <v>94</v>
      </c>
      <c r="S193" s="1" t="s">
        <v>18</v>
      </c>
      <c r="T193" s="8"/>
      <c r="U193" s="8"/>
      <c r="V193" s="1"/>
    </row>
    <row r="194" spans="1:22" ht="30" hidden="1" x14ac:dyDescent="0.25">
      <c r="A194" s="1" t="s">
        <v>550</v>
      </c>
      <c r="B194" s="1" t="s">
        <v>44</v>
      </c>
      <c r="C194" s="1" t="s">
        <v>45</v>
      </c>
      <c r="D194" s="1" t="s">
        <v>551</v>
      </c>
      <c r="E194" s="1" t="s">
        <v>92</v>
      </c>
      <c r="F194" s="1" t="s">
        <v>474</v>
      </c>
      <c r="G194" s="1" t="s">
        <v>93</v>
      </c>
      <c r="H194" s="7" t="s">
        <v>51</v>
      </c>
      <c r="I194" s="7" t="s">
        <v>50</v>
      </c>
      <c r="J194" s="7" t="s">
        <v>51</v>
      </c>
      <c r="K194" s="7" t="s">
        <v>51</v>
      </c>
      <c r="L194" s="1">
        <v>0</v>
      </c>
      <c r="M194" s="1"/>
      <c r="N194" s="1" t="s">
        <v>77</v>
      </c>
      <c r="O194" s="1" t="s">
        <v>81</v>
      </c>
      <c r="P194" s="1" t="s">
        <v>82</v>
      </c>
      <c r="Q194" s="1" t="s">
        <v>55</v>
      </c>
      <c r="R194" s="1" t="s">
        <v>78</v>
      </c>
      <c r="S194" s="1" t="s">
        <v>16</v>
      </c>
      <c r="T194" s="8"/>
      <c r="U194" s="8"/>
      <c r="V194" s="1"/>
    </row>
    <row r="195" spans="1:22" ht="30" hidden="1" x14ac:dyDescent="0.25">
      <c r="A195" s="1" t="s">
        <v>552</v>
      </c>
      <c r="B195" s="1" t="s">
        <v>44</v>
      </c>
      <c r="C195" s="1" t="s">
        <v>45</v>
      </c>
      <c r="D195" s="1" t="s">
        <v>553</v>
      </c>
      <c r="E195" s="1" t="s">
        <v>92</v>
      </c>
      <c r="F195" s="1" t="s">
        <v>474</v>
      </c>
      <c r="G195" s="1" t="s">
        <v>93</v>
      </c>
      <c r="H195" s="7" t="s">
        <v>51</v>
      </c>
      <c r="I195" s="7" t="s">
        <v>50</v>
      </c>
      <c r="J195" s="7" t="s">
        <v>51</v>
      </c>
      <c r="K195" s="7" t="s">
        <v>51</v>
      </c>
      <c r="L195" s="1">
        <v>0</v>
      </c>
      <c r="M195" s="1"/>
      <c r="N195" s="1" t="s">
        <v>52</v>
      </c>
      <c r="O195" s="1" t="s">
        <v>81</v>
      </c>
      <c r="P195" s="1" t="s">
        <v>82</v>
      </c>
      <c r="Q195" s="1" t="s">
        <v>55</v>
      </c>
      <c r="R195" s="1" t="s">
        <v>94</v>
      </c>
      <c r="S195" s="1" t="s">
        <v>18</v>
      </c>
      <c r="T195" s="8"/>
      <c r="U195" s="8"/>
      <c r="V195" s="1"/>
    </row>
    <row r="196" spans="1:22" ht="30" hidden="1" x14ac:dyDescent="0.25">
      <c r="A196" s="1" t="s">
        <v>554</v>
      </c>
      <c r="B196" s="1" t="s">
        <v>44</v>
      </c>
      <c r="C196" s="1" t="s">
        <v>45</v>
      </c>
      <c r="D196" s="1" t="s">
        <v>555</v>
      </c>
      <c r="E196" s="1" t="s">
        <v>92</v>
      </c>
      <c r="F196" s="1" t="s">
        <v>474</v>
      </c>
      <c r="G196" s="1" t="s">
        <v>102</v>
      </c>
      <c r="H196" s="7" t="s">
        <v>51</v>
      </c>
      <c r="I196" s="7" t="s">
        <v>50</v>
      </c>
      <c r="J196" s="7" t="s">
        <v>50</v>
      </c>
      <c r="K196" s="7" t="s">
        <v>51</v>
      </c>
      <c r="L196" s="1">
        <v>0</v>
      </c>
      <c r="M196" s="1"/>
      <c r="N196" s="1" t="s">
        <v>52</v>
      </c>
      <c r="O196" s="1" t="s">
        <v>81</v>
      </c>
      <c r="P196" s="1" t="s">
        <v>82</v>
      </c>
      <c r="Q196" s="1" t="s">
        <v>55</v>
      </c>
      <c r="R196" s="1" t="s">
        <v>56</v>
      </c>
      <c r="S196" s="1" t="s">
        <v>10</v>
      </c>
      <c r="T196" s="8"/>
      <c r="U196" s="8"/>
      <c r="V196" s="1"/>
    </row>
    <row r="197" spans="1:22" ht="30" hidden="1" x14ac:dyDescent="0.25">
      <c r="A197" s="1" t="s">
        <v>556</v>
      </c>
      <c r="B197" s="1" t="s">
        <v>44</v>
      </c>
      <c r="C197" s="1" t="s">
        <v>45</v>
      </c>
      <c r="D197" s="1" t="s">
        <v>557</v>
      </c>
      <c r="E197" s="1" t="s">
        <v>92</v>
      </c>
      <c r="F197" s="1" t="s">
        <v>474</v>
      </c>
      <c r="G197" s="1" t="s">
        <v>98</v>
      </c>
      <c r="H197" s="7" t="s">
        <v>51</v>
      </c>
      <c r="I197" s="7" t="s">
        <v>50</v>
      </c>
      <c r="J197" s="7" t="s">
        <v>51</v>
      </c>
      <c r="K197" s="7" t="s">
        <v>51</v>
      </c>
      <c r="L197" s="1">
        <v>0</v>
      </c>
      <c r="M197" s="1"/>
      <c r="N197" s="1" t="s">
        <v>52</v>
      </c>
      <c r="O197" s="1" t="s">
        <v>81</v>
      </c>
      <c r="P197" s="1" t="s">
        <v>82</v>
      </c>
      <c r="Q197" s="1" t="s">
        <v>55</v>
      </c>
      <c r="R197" s="1" t="s">
        <v>94</v>
      </c>
      <c r="S197" s="1" t="s">
        <v>18</v>
      </c>
      <c r="T197" s="8"/>
      <c r="U197" s="8"/>
      <c r="V197" s="1"/>
    </row>
    <row r="198" spans="1:22" ht="30" hidden="1" x14ac:dyDescent="0.25">
      <c r="A198" s="1" t="s">
        <v>558</v>
      </c>
      <c r="B198" s="1" t="s">
        <v>44</v>
      </c>
      <c r="C198" s="1" t="s">
        <v>45</v>
      </c>
      <c r="D198" s="1" t="s">
        <v>559</v>
      </c>
      <c r="E198" s="1" t="s">
        <v>92</v>
      </c>
      <c r="F198" s="1" t="s">
        <v>474</v>
      </c>
      <c r="G198" s="1" t="s">
        <v>66</v>
      </c>
      <c r="H198" s="7" t="s">
        <v>51</v>
      </c>
      <c r="I198" s="7" t="s">
        <v>50</v>
      </c>
      <c r="J198" s="7" t="s">
        <v>51</v>
      </c>
      <c r="K198" s="7" t="s">
        <v>51</v>
      </c>
      <c r="L198" s="1">
        <v>0</v>
      </c>
      <c r="M198" s="1"/>
      <c r="N198" s="1" t="s">
        <v>52</v>
      </c>
      <c r="O198" s="1" t="s">
        <v>81</v>
      </c>
      <c r="P198" s="1" t="s">
        <v>82</v>
      </c>
      <c r="Q198" s="1" t="s">
        <v>55</v>
      </c>
      <c r="R198" s="1" t="s">
        <v>94</v>
      </c>
      <c r="S198" s="1" t="s">
        <v>18</v>
      </c>
      <c r="T198" s="8"/>
      <c r="U198" s="8"/>
      <c r="V198" s="1"/>
    </row>
    <row r="199" spans="1:22" ht="120" hidden="1" x14ac:dyDescent="0.25">
      <c r="A199" s="1" t="s">
        <v>560</v>
      </c>
      <c r="B199" s="1" t="s">
        <v>44</v>
      </c>
      <c r="C199" s="1" t="s">
        <v>45</v>
      </c>
      <c r="D199" s="1" t="s">
        <v>561</v>
      </c>
      <c r="E199" s="1" t="s">
        <v>92</v>
      </c>
      <c r="F199" s="1" t="s">
        <v>474</v>
      </c>
      <c r="G199" s="1" t="s">
        <v>102</v>
      </c>
      <c r="H199" s="7" t="s">
        <v>50</v>
      </c>
      <c r="I199" s="7" t="s">
        <v>50</v>
      </c>
      <c r="J199" s="7" t="s">
        <v>50</v>
      </c>
      <c r="K199" s="7" t="s">
        <v>51</v>
      </c>
      <c r="L199" s="1">
        <v>2</v>
      </c>
      <c r="M199" s="1"/>
      <c r="N199" s="1" t="s">
        <v>52</v>
      </c>
      <c r="O199" s="1" t="s">
        <v>81</v>
      </c>
      <c r="P199" s="1" t="s">
        <v>82</v>
      </c>
      <c r="Q199" s="1" t="s">
        <v>55</v>
      </c>
      <c r="R199" s="1" t="s">
        <v>56</v>
      </c>
      <c r="S199" s="1" t="s">
        <v>10</v>
      </c>
      <c r="T199" s="8"/>
      <c r="U199" s="8"/>
      <c r="V199" s="1" t="s">
        <v>562</v>
      </c>
    </row>
    <row r="200" spans="1:22" ht="120" hidden="1" x14ac:dyDescent="0.25">
      <c r="A200" s="1" t="s">
        <v>563</v>
      </c>
      <c r="B200" s="1" t="s">
        <v>44</v>
      </c>
      <c r="C200" s="1" t="s">
        <v>45</v>
      </c>
      <c r="D200" s="1" t="s">
        <v>564</v>
      </c>
      <c r="E200" s="1" t="s">
        <v>92</v>
      </c>
      <c r="F200" s="1" t="s">
        <v>474</v>
      </c>
      <c r="G200" s="1" t="s">
        <v>98</v>
      </c>
      <c r="H200" s="7" t="s">
        <v>50</v>
      </c>
      <c r="I200" s="7" t="s">
        <v>50</v>
      </c>
      <c r="J200" s="7" t="s">
        <v>50</v>
      </c>
      <c r="K200" s="7" t="s">
        <v>51</v>
      </c>
      <c r="L200" s="1">
        <v>2</v>
      </c>
      <c r="M200" s="1"/>
      <c r="N200" s="1" t="s">
        <v>52</v>
      </c>
      <c r="O200" s="1" t="s">
        <v>81</v>
      </c>
      <c r="P200" s="1" t="s">
        <v>82</v>
      </c>
      <c r="Q200" s="1" t="s">
        <v>55</v>
      </c>
      <c r="R200" s="1" t="s">
        <v>56</v>
      </c>
      <c r="S200" s="1" t="s">
        <v>10</v>
      </c>
      <c r="T200" s="8"/>
      <c r="U200" s="8"/>
      <c r="V200" s="1" t="s">
        <v>565</v>
      </c>
    </row>
    <row r="201" spans="1:22" ht="30" hidden="1" x14ac:dyDescent="0.25">
      <c r="A201" s="1" t="s">
        <v>566</v>
      </c>
      <c r="B201" s="1" t="s">
        <v>44</v>
      </c>
      <c r="C201" s="1" t="s">
        <v>45</v>
      </c>
      <c r="D201" s="1" t="s">
        <v>567</v>
      </c>
      <c r="E201" s="1" t="s">
        <v>92</v>
      </c>
      <c r="F201" s="1" t="s">
        <v>474</v>
      </c>
      <c r="G201" s="1" t="s">
        <v>102</v>
      </c>
      <c r="H201" s="7" t="s">
        <v>51</v>
      </c>
      <c r="I201" s="7" t="s">
        <v>50</v>
      </c>
      <c r="J201" s="7" t="s">
        <v>51</v>
      </c>
      <c r="K201" s="7" t="s">
        <v>51</v>
      </c>
      <c r="L201" s="1">
        <v>0</v>
      </c>
      <c r="M201" s="1"/>
      <c r="N201" s="1" t="s">
        <v>52</v>
      </c>
      <c r="O201" s="1" t="s">
        <v>81</v>
      </c>
      <c r="P201" s="1" t="s">
        <v>82</v>
      </c>
      <c r="Q201" s="1" t="s">
        <v>55</v>
      </c>
      <c r="R201" s="1" t="s">
        <v>94</v>
      </c>
      <c r="S201" s="1" t="s">
        <v>18</v>
      </c>
      <c r="T201" s="8"/>
      <c r="U201" s="8"/>
      <c r="V201" s="1"/>
    </row>
    <row r="202" spans="1:22" ht="120" hidden="1" x14ac:dyDescent="0.25">
      <c r="A202" s="1" t="s">
        <v>568</v>
      </c>
      <c r="B202" s="1" t="s">
        <v>44</v>
      </c>
      <c r="C202" s="1" t="s">
        <v>45</v>
      </c>
      <c r="D202" s="1" t="s">
        <v>569</v>
      </c>
      <c r="E202" s="1" t="s">
        <v>92</v>
      </c>
      <c r="F202" s="1" t="s">
        <v>474</v>
      </c>
      <c r="G202" s="1" t="s">
        <v>98</v>
      </c>
      <c r="H202" s="7" t="s">
        <v>50</v>
      </c>
      <c r="I202" s="7" t="s">
        <v>50</v>
      </c>
      <c r="J202" s="7" t="s">
        <v>51</v>
      </c>
      <c r="K202" s="7" t="s">
        <v>51</v>
      </c>
      <c r="L202" s="1">
        <v>2</v>
      </c>
      <c r="M202" s="1"/>
      <c r="N202" s="1" t="s">
        <v>52</v>
      </c>
      <c r="O202" s="1" t="s">
        <v>81</v>
      </c>
      <c r="P202" s="1" t="s">
        <v>82</v>
      </c>
      <c r="Q202" s="1" t="s">
        <v>55</v>
      </c>
      <c r="R202" s="1" t="s">
        <v>94</v>
      </c>
      <c r="S202" s="1" t="s">
        <v>18</v>
      </c>
      <c r="T202" s="8"/>
      <c r="U202" s="8"/>
      <c r="V202" s="1" t="s">
        <v>570</v>
      </c>
    </row>
    <row r="203" spans="1:22" ht="135" hidden="1" x14ac:dyDescent="0.25">
      <c r="A203" s="1" t="s">
        <v>571</v>
      </c>
      <c r="B203" s="1" t="s">
        <v>44</v>
      </c>
      <c r="C203" s="1" t="s">
        <v>45</v>
      </c>
      <c r="D203" s="1" t="s">
        <v>572</v>
      </c>
      <c r="E203" s="1" t="s">
        <v>92</v>
      </c>
      <c r="F203" s="1" t="s">
        <v>474</v>
      </c>
      <c r="G203" s="1" t="s">
        <v>102</v>
      </c>
      <c r="H203" s="7" t="s">
        <v>50</v>
      </c>
      <c r="I203" s="7" t="s">
        <v>50</v>
      </c>
      <c r="J203" s="7" t="s">
        <v>50</v>
      </c>
      <c r="K203" s="7" t="s">
        <v>51</v>
      </c>
      <c r="L203" s="1">
        <v>2</v>
      </c>
      <c r="M203" s="1"/>
      <c r="N203" s="1" t="s">
        <v>52</v>
      </c>
      <c r="O203" s="1" t="s">
        <v>81</v>
      </c>
      <c r="P203" s="1" t="s">
        <v>82</v>
      </c>
      <c r="Q203" s="1" t="s">
        <v>55</v>
      </c>
      <c r="R203" s="1" t="s">
        <v>56</v>
      </c>
      <c r="S203" s="1" t="s">
        <v>10</v>
      </c>
      <c r="T203" s="8"/>
      <c r="U203" s="8"/>
      <c r="V203" s="1" t="s">
        <v>573</v>
      </c>
    </row>
    <row r="204" spans="1:22" ht="120" hidden="1" x14ac:dyDescent="0.25">
      <c r="A204" s="1" t="s">
        <v>574</v>
      </c>
      <c r="B204" s="1" t="s">
        <v>44</v>
      </c>
      <c r="C204" s="1" t="s">
        <v>45</v>
      </c>
      <c r="D204" s="1" t="s">
        <v>575</v>
      </c>
      <c r="E204" s="1" t="s">
        <v>92</v>
      </c>
      <c r="F204" s="1" t="s">
        <v>474</v>
      </c>
      <c r="G204" s="1" t="s">
        <v>102</v>
      </c>
      <c r="H204" s="7" t="s">
        <v>50</v>
      </c>
      <c r="I204" s="7" t="s">
        <v>50</v>
      </c>
      <c r="J204" s="7" t="s">
        <v>50</v>
      </c>
      <c r="K204" s="7" t="s">
        <v>51</v>
      </c>
      <c r="L204" s="1">
        <v>2</v>
      </c>
      <c r="M204" s="1"/>
      <c r="N204" s="1" t="s">
        <v>52</v>
      </c>
      <c r="O204" s="1" t="s">
        <v>81</v>
      </c>
      <c r="P204" s="1" t="s">
        <v>82</v>
      </c>
      <c r="Q204" s="1" t="s">
        <v>55</v>
      </c>
      <c r="R204" s="1" t="s">
        <v>56</v>
      </c>
      <c r="S204" s="1" t="s">
        <v>10</v>
      </c>
      <c r="T204" s="8"/>
      <c r="U204" s="8"/>
      <c r="V204" s="1" t="s">
        <v>576</v>
      </c>
    </row>
    <row r="205" spans="1:22" ht="120" hidden="1" x14ac:dyDescent="0.25">
      <c r="A205" s="1" t="s">
        <v>577</v>
      </c>
      <c r="B205" s="1" t="s">
        <v>44</v>
      </c>
      <c r="C205" s="1" t="s">
        <v>45</v>
      </c>
      <c r="D205" s="1" t="s">
        <v>578</v>
      </c>
      <c r="E205" s="1" t="s">
        <v>92</v>
      </c>
      <c r="F205" s="1" t="s">
        <v>474</v>
      </c>
      <c r="G205" s="1" t="s">
        <v>98</v>
      </c>
      <c r="H205" s="7" t="s">
        <v>50</v>
      </c>
      <c r="I205" s="7" t="s">
        <v>50</v>
      </c>
      <c r="J205" s="7" t="s">
        <v>50</v>
      </c>
      <c r="K205" s="7" t="s">
        <v>51</v>
      </c>
      <c r="L205" s="1">
        <v>2</v>
      </c>
      <c r="M205" s="1"/>
      <c r="N205" s="1" t="s">
        <v>52</v>
      </c>
      <c r="O205" s="1" t="s">
        <v>81</v>
      </c>
      <c r="P205" s="1" t="s">
        <v>82</v>
      </c>
      <c r="Q205" s="1" t="s">
        <v>55</v>
      </c>
      <c r="R205" s="1" t="s">
        <v>56</v>
      </c>
      <c r="S205" s="1" t="s">
        <v>10</v>
      </c>
      <c r="T205" s="8"/>
      <c r="U205" s="8"/>
      <c r="V205" s="1" t="s">
        <v>579</v>
      </c>
    </row>
    <row r="206" spans="1:22" ht="120" hidden="1" x14ac:dyDescent="0.25">
      <c r="A206" s="1" t="s">
        <v>580</v>
      </c>
      <c r="B206" s="1" t="s">
        <v>44</v>
      </c>
      <c r="C206" s="1" t="s">
        <v>45</v>
      </c>
      <c r="D206" s="1" t="s">
        <v>581</v>
      </c>
      <c r="E206" s="1" t="s">
        <v>92</v>
      </c>
      <c r="F206" s="1" t="s">
        <v>474</v>
      </c>
      <c r="G206" s="1" t="s">
        <v>98</v>
      </c>
      <c r="H206" s="7" t="s">
        <v>50</v>
      </c>
      <c r="I206" s="7" t="s">
        <v>50</v>
      </c>
      <c r="J206" s="7" t="s">
        <v>50</v>
      </c>
      <c r="K206" s="7" t="s">
        <v>51</v>
      </c>
      <c r="L206" s="1">
        <v>2</v>
      </c>
      <c r="M206" s="1"/>
      <c r="N206" s="1" t="s">
        <v>52</v>
      </c>
      <c r="O206" s="1" t="s">
        <v>81</v>
      </c>
      <c r="P206" s="1" t="s">
        <v>82</v>
      </c>
      <c r="Q206" s="1" t="s">
        <v>55</v>
      </c>
      <c r="R206" s="1" t="s">
        <v>56</v>
      </c>
      <c r="S206" s="1" t="s">
        <v>10</v>
      </c>
      <c r="T206" s="8"/>
      <c r="U206" s="8"/>
      <c r="V206" s="1" t="s">
        <v>582</v>
      </c>
    </row>
    <row r="207" spans="1:22" ht="30" hidden="1" x14ac:dyDescent="0.25">
      <c r="A207" s="1" t="s">
        <v>583</v>
      </c>
      <c r="B207" s="1" t="s">
        <v>44</v>
      </c>
      <c r="C207" s="1" t="s">
        <v>45</v>
      </c>
      <c r="D207" s="1" t="s">
        <v>584</v>
      </c>
      <c r="E207" s="1" t="s">
        <v>92</v>
      </c>
      <c r="F207" s="1" t="s">
        <v>474</v>
      </c>
      <c r="G207" s="1" t="s">
        <v>102</v>
      </c>
      <c r="H207" s="7" t="s">
        <v>51</v>
      </c>
      <c r="I207" s="7" t="s">
        <v>50</v>
      </c>
      <c r="J207" s="7" t="s">
        <v>50</v>
      </c>
      <c r="K207" s="7" t="s">
        <v>51</v>
      </c>
      <c r="L207" s="1">
        <v>0</v>
      </c>
      <c r="M207" s="1"/>
      <c r="N207" s="1" t="s">
        <v>52</v>
      </c>
      <c r="O207" s="1" t="s">
        <v>81</v>
      </c>
      <c r="P207" s="1" t="s">
        <v>82</v>
      </c>
      <c r="Q207" s="1" t="s">
        <v>55</v>
      </c>
      <c r="R207" s="1" t="s">
        <v>56</v>
      </c>
      <c r="S207" s="1" t="s">
        <v>10</v>
      </c>
      <c r="T207" s="8"/>
      <c r="U207" s="8"/>
      <c r="V207" s="1"/>
    </row>
    <row r="208" spans="1:22" ht="120" hidden="1" x14ac:dyDescent="0.25">
      <c r="A208" s="1" t="s">
        <v>585</v>
      </c>
      <c r="B208" s="1" t="s">
        <v>44</v>
      </c>
      <c r="C208" s="1" t="s">
        <v>45</v>
      </c>
      <c r="D208" s="1" t="s">
        <v>586</v>
      </c>
      <c r="E208" s="1" t="s">
        <v>92</v>
      </c>
      <c r="F208" s="1" t="s">
        <v>474</v>
      </c>
      <c r="G208" s="1" t="s">
        <v>66</v>
      </c>
      <c r="H208" s="7" t="s">
        <v>50</v>
      </c>
      <c r="I208" s="7" t="s">
        <v>50</v>
      </c>
      <c r="J208" s="7" t="s">
        <v>50</v>
      </c>
      <c r="K208" s="7" t="s">
        <v>51</v>
      </c>
      <c r="L208" s="1">
        <v>3</v>
      </c>
      <c r="M208" s="1"/>
      <c r="N208" s="1" t="s">
        <v>52</v>
      </c>
      <c r="O208" s="1" t="s">
        <v>161</v>
      </c>
      <c r="P208" s="1" t="s">
        <v>267</v>
      </c>
      <c r="Q208" s="1" t="s">
        <v>255</v>
      </c>
      <c r="R208" s="1" t="s">
        <v>164</v>
      </c>
      <c r="S208" s="1" t="s">
        <v>12</v>
      </c>
      <c r="T208" s="8"/>
      <c r="U208" s="8"/>
      <c r="V208" s="1" t="s">
        <v>587</v>
      </c>
    </row>
    <row r="209" spans="1:22" ht="30" hidden="1" x14ac:dyDescent="0.25">
      <c r="A209" s="1" t="s">
        <v>588</v>
      </c>
      <c r="B209" s="1" t="s">
        <v>44</v>
      </c>
      <c r="C209" s="1" t="s">
        <v>45</v>
      </c>
      <c r="D209" s="1" t="s">
        <v>161</v>
      </c>
      <c r="E209" s="1" t="s">
        <v>92</v>
      </c>
      <c r="F209" s="1" t="s">
        <v>474</v>
      </c>
      <c r="G209" s="1" t="s">
        <v>66</v>
      </c>
      <c r="H209" s="7" t="s">
        <v>51</v>
      </c>
      <c r="I209" s="7" t="s">
        <v>50</v>
      </c>
      <c r="J209" s="7" t="s">
        <v>51</v>
      </c>
      <c r="K209" s="7" t="s">
        <v>50</v>
      </c>
      <c r="L209" s="1">
        <v>0</v>
      </c>
      <c r="M209" s="1"/>
      <c r="N209" s="1" t="s">
        <v>52</v>
      </c>
      <c r="O209" s="1" t="s">
        <v>161</v>
      </c>
      <c r="P209" s="1" t="s">
        <v>254</v>
      </c>
      <c r="Q209" s="1" t="s">
        <v>255</v>
      </c>
      <c r="R209" s="1" t="s">
        <v>256</v>
      </c>
      <c r="S209" s="1" t="s">
        <v>14</v>
      </c>
      <c r="T209" s="8"/>
      <c r="U209" s="8"/>
      <c r="V209" s="1"/>
    </row>
    <row r="210" spans="1:22" ht="30" hidden="1" x14ac:dyDescent="0.25">
      <c r="A210" s="1" t="s">
        <v>589</v>
      </c>
      <c r="B210" s="1" t="s">
        <v>44</v>
      </c>
      <c r="C210" s="1" t="s">
        <v>45</v>
      </c>
      <c r="D210" s="1" t="s">
        <v>590</v>
      </c>
      <c r="E210" s="1" t="s">
        <v>92</v>
      </c>
      <c r="F210" s="1" t="s">
        <v>474</v>
      </c>
      <c r="G210" s="1" t="s">
        <v>66</v>
      </c>
      <c r="H210" s="7" t="s">
        <v>51</v>
      </c>
      <c r="I210" s="7" t="s">
        <v>50</v>
      </c>
      <c r="J210" s="7" t="s">
        <v>51</v>
      </c>
      <c r="K210" s="7" t="s">
        <v>50</v>
      </c>
      <c r="L210" s="1">
        <v>0</v>
      </c>
      <c r="M210" s="1"/>
      <c r="N210" s="1" t="s">
        <v>77</v>
      </c>
      <c r="O210" s="1" t="s">
        <v>590</v>
      </c>
      <c r="P210" s="1" t="s">
        <v>254</v>
      </c>
      <c r="Q210" s="1" t="s">
        <v>255</v>
      </c>
      <c r="R210" s="1" t="s">
        <v>256</v>
      </c>
      <c r="S210" s="1" t="s">
        <v>14</v>
      </c>
      <c r="T210" s="8"/>
      <c r="U210" s="8"/>
      <c r="V210" s="1"/>
    </row>
    <row r="211" spans="1:22" ht="30" hidden="1" x14ac:dyDescent="0.25">
      <c r="A211" s="1" t="s">
        <v>591</v>
      </c>
      <c r="B211" s="1" t="s">
        <v>44</v>
      </c>
      <c r="C211" s="1" t="s">
        <v>45</v>
      </c>
      <c r="D211" s="1" t="s">
        <v>592</v>
      </c>
      <c r="E211" s="1" t="s">
        <v>92</v>
      </c>
      <c r="F211" s="1" t="s">
        <v>474</v>
      </c>
      <c r="G211" s="1" t="s">
        <v>66</v>
      </c>
      <c r="H211" s="7" t="s">
        <v>51</v>
      </c>
      <c r="I211" s="7" t="s">
        <v>50</v>
      </c>
      <c r="J211" s="7" t="s">
        <v>50</v>
      </c>
      <c r="K211" s="7" t="s">
        <v>51</v>
      </c>
      <c r="L211" s="1">
        <v>0</v>
      </c>
      <c r="M211" s="1"/>
      <c r="N211" s="1" t="s">
        <v>52</v>
      </c>
      <c r="O211" s="1" t="s">
        <v>161</v>
      </c>
      <c r="P211" s="1" t="s">
        <v>162</v>
      </c>
      <c r="Q211" s="1" t="s">
        <v>163</v>
      </c>
      <c r="R211" s="1" t="s">
        <v>164</v>
      </c>
      <c r="S211" s="1" t="s">
        <v>12</v>
      </c>
      <c r="T211" s="8"/>
      <c r="U211" s="8"/>
      <c r="V211" s="1"/>
    </row>
    <row r="212" spans="1:22" ht="30" hidden="1" x14ac:dyDescent="0.25">
      <c r="A212" s="1" t="s">
        <v>593</v>
      </c>
      <c r="B212" s="1" t="s">
        <v>44</v>
      </c>
      <c r="C212" s="1" t="s">
        <v>45</v>
      </c>
      <c r="D212" s="1" t="s">
        <v>594</v>
      </c>
      <c r="E212" s="1" t="s">
        <v>92</v>
      </c>
      <c r="F212" s="1" t="s">
        <v>474</v>
      </c>
      <c r="G212" s="1" t="s">
        <v>66</v>
      </c>
      <c r="H212" s="7" t="s">
        <v>51</v>
      </c>
      <c r="I212" s="7" t="s">
        <v>50</v>
      </c>
      <c r="J212" s="7" t="s">
        <v>50</v>
      </c>
      <c r="K212" s="7" t="s">
        <v>51</v>
      </c>
      <c r="L212" s="1">
        <v>0</v>
      </c>
      <c r="M212" s="1"/>
      <c r="N212" s="1" t="s">
        <v>52</v>
      </c>
      <c r="O212" s="1" t="s">
        <v>171</v>
      </c>
      <c r="P212" s="1" t="s">
        <v>267</v>
      </c>
      <c r="Q212" s="1" t="s">
        <v>255</v>
      </c>
      <c r="R212" s="1" t="s">
        <v>164</v>
      </c>
      <c r="S212" s="1" t="s">
        <v>12</v>
      </c>
      <c r="T212" s="8"/>
      <c r="U212" s="8"/>
      <c r="V212" s="1"/>
    </row>
    <row r="213" spans="1:22" ht="30" hidden="1" x14ac:dyDescent="0.25">
      <c r="A213" s="1" t="s">
        <v>595</v>
      </c>
      <c r="B213" s="1" t="s">
        <v>44</v>
      </c>
      <c r="C213" s="1" t="s">
        <v>45</v>
      </c>
      <c r="D213" s="1" t="s">
        <v>171</v>
      </c>
      <c r="E213" s="1" t="s">
        <v>92</v>
      </c>
      <c r="F213" s="1" t="s">
        <v>474</v>
      </c>
      <c r="G213" s="1" t="s">
        <v>66</v>
      </c>
      <c r="H213" s="7" t="s">
        <v>51</v>
      </c>
      <c r="I213" s="7" t="s">
        <v>50</v>
      </c>
      <c r="J213" s="7" t="s">
        <v>51</v>
      </c>
      <c r="K213" s="7" t="s">
        <v>50</v>
      </c>
      <c r="L213" s="1">
        <v>0</v>
      </c>
      <c r="M213" s="1"/>
      <c r="N213" s="1" t="s">
        <v>52</v>
      </c>
      <c r="O213" s="1" t="s">
        <v>171</v>
      </c>
      <c r="P213" s="1" t="s">
        <v>254</v>
      </c>
      <c r="Q213" s="1" t="s">
        <v>255</v>
      </c>
      <c r="R213" s="1" t="s">
        <v>256</v>
      </c>
      <c r="S213" s="1" t="s">
        <v>14</v>
      </c>
      <c r="T213" s="8"/>
      <c r="U213" s="8"/>
      <c r="V213" s="1"/>
    </row>
    <row r="214" spans="1:22" ht="30" hidden="1" x14ac:dyDescent="0.25">
      <c r="A214" s="1" t="s">
        <v>596</v>
      </c>
      <c r="B214" s="1" t="s">
        <v>44</v>
      </c>
      <c r="C214" s="1" t="s">
        <v>45</v>
      </c>
      <c r="D214" s="1" t="s">
        <v>597</v>
      </c>
      <c r="E214" s="1" t="s">
        <v>92</v>
      </c>
      <c r="F214" s="1" t="s">
        <v>474</v>
      </c>
      <c r="G214" s="1" t="s">
        <v>66</v>
      </c>
      <c r="H214" s="7" t="s">
        <v>51</v>
      </c>
      <c r="I214" s="7" t="s">
        <v>50</v>
      </c>
      <c r="J214" s="7" t="s">
        <v>51</v>
      </c>
      <c r="K214" s="7" t="s">
        <v>50</v>
      </c>
      <c r="L214" s="1">
        <v>0</v>
      </c>
      <c r="M214" s="1"/>
      <c r="N214" s="1" t="s">
        <v>77</v>
      </c>
      <c r="O214" s="1" t="s">
        <v>597</v>
      </c>
      <c r="P214" s="1" t="s">
        <v>254</v>
      </c>
      <c r="Q214" s="1" t="s">
        <v>255</v>
      </c>
      <c r="R214" s="1" t="s">
        <v>256</v>
      </c>
      <c r="S214" s="1" t="s">
        <v>14</v>
      </c>
      <c r="T214" s="8"/>
      <c r="U214" s="8"/>
      <c r="V214" s="1"/>
    </row>
    <row r="215" spans="1:22" ht="30" hidden="1" x14ac:dyDescent="0.25">
      <c r="A215" s="1" t="s">
        <v>598</v>
      </c>
      <c r="B215" s="1" t="s">
        <v>44</v>
      </c>
      <c r="C215" s="1" t="s">
        <v>45</v>
      </c>
      <c r="D215" s="1" t="s">
        <v>599</v>
      </c>
      <c r="E215" s="1" t="s">
        <v>92</v>
      </c>
      <c r="F215" s="1" t="s">
        <v>474</v>
      </c>
      <c r="G215" s="1" t="s">
        <v>66</v>
      </c>
      <c r="H215" s="7" t="s">
        <v>51</v>
      </c>
      <c r="I215" s="7" t="s">
        <v>50</v>
      </c>
      <c r="J215" s="7" t="s">
        <v>50</v>
      </c>
      <c r="K215" s="7" t="s">
        <v>51</v>
      </c>
      <c r="L215" s="1">
        <v>0</v>
      </c>
      <c r="M215" s="1"/>
      <c r="N215" s="1" t="s">
        <v>77</v>
      </c>
      <c r="O215" s="1" t="s">
        <v>161</v>
      </c>
      <c r="P215" s="1" t="s">
        <v>162</v>
      </c>
      <c r="Q215" s="1" t="s">
        <v>163</v>
      </c>
      <c r="R215" s="1" t="s">
        <v>78</v>
      </c>
      <c r="S215" s="1" t="s">
        <v>16</v>
      </c>
      <c r="T215" s="8"/>
      <c r="U215" s="8"/>
      <c r="V215" s="1"/>
    </row>
    <row r="216" spans="1:22" ht="120" hidden="1" x14ac:dyDescent="0.25">
      <c r="A216" s="1" t="s">
        <v>600</v>
      </c>
      <c r="B216" s="1" t="s">
        <v>44</v>
      </c>
      <c r="C216" s="1" t="s">
        <v>45</v>
      </c>
      <c r="D216" s="1" t="s">
        <v>601</v>
      </c>
      <c r="E216" s="1" t="s">
        <v>92</v>
      </c>
      <c r="F216" s="1" t="s">
        <v>474</v>
      </c>
      <c r="G216" s="1" t="s">
        <v>98</v>
      </c>
      <c r="H216" s="7" t="s">
        <v>50</v>
      </c>
      <c r="I216" s="7" t="s">
        <v>50</v>
      </c>
      <c r="J216" s="7" t="s">
        <v>51</v>
      </c>
      <c r="K216" s="7" t="s">
        <v>51</v>
      </c>
      <c r="L216" s="1">
        <v>2</v>
      </c>
      <c r="M216" s="1"/>
      <c r="N216" s="1" t="s">
        <v>52</v>
      </c>
      <c r="O216" s="1" t="s">
        <v>81</v>
      </c>
      <c r="P216" s="1" t="s">
        <v>82</v>
      </c>
      <c r="Q216" s="1" t="s">
        <v>55</v>
      </c>
      <c r="R216" s="1" t="s">
        <v>94</v>
      </c>
      <c r="S216" s="1" t="s">
        <v>18</v>
      </c>
      <c r="T216" s="8"/>
      <c r="U216" s="8"/>
      <c r="V216" s="1" t="s">
        <v>602</v>
      </c>
    </row>
    <row r="217" spans="1:22" ht="30" hidden="1" x14ac:dyDescent="0.25">
      <c r="A217" s="1" t="s">
        <v>603</v>
      </c>
      <c r="B217" s="1" t="s">
        <v>44</v>
      </c>
      <c r="C217" s="1" t="s">
        <v>45</v>
      </c>
      <c r="D217" s="1" t="s">
        <v>604</v>
      </c>
      <c r="E217" s="1" t="s">
        <v>92</v>
      </c>
      <c r="F217" s="1" t="s">
        <v>474</v>
      </c>
      <c r="G217" s="1" t="s">
        <v>102</v>
      </c>
      <c r="H217" s="7" t="s">
        <v>51</v>
      </c>
      <c r="I217" s="7" t="s">
        <v>50</v>
      </c>
      <c r="J217" s="7" t="s">
        <v>51</v>
      </c>
      <c r="K217" s="7" t="s">
        <v>51</v>
      </c>
      <c r="L217" s="1">
        <v>0</v>
      </c>
      <c r="M217" s="1"/>
      <c r="N217" s="1" t="s">
        <v>52</v>
      </c>
      <c r="O217" s="1" t="s">
        <v>81</v>
      </c>
      <c r="P217" s="1" t="s">
        <v>82</v>
      </c>
      <c r="Q217" s="1" t="s">
        <v>55</v>
      </c>
      <c r="R217" s="1" t="s">
        <v>94</v>
      </c>
      <c r="S217" s="1" t="s">
        <v>18</v>
      </c>
      <c r="T217" s="8"/>
      <c r="U217" s="8"/>
      <c r="V217" s="1"/>
    </row>
    <row r="218" spans="1:22" ht="30" hidden="1" x14ac:dyDescent="0.25">
      <c r="A218" s="1" t="s">
        <v>605</v>
      </c>
      <c r="B218" s="1" t="s">
        <v>44</v>
      </c>
      <c r="C218" s="1" t="s">
        <v>45</v>
      </c>
      <c r="D218" s="1" t="s">
        <v>606</v>
      </c>
      <c r="E218" s="1" t="s">
        <v>178</v>
      </c>
      <c r="F218" s="1" t="s">
        <v>474</v>
      </c>
      <c r="G218" s="1" t="s">
        <v>179</v>
      </c>
      <c r="H218" s="7" t="s">
        <v>51</v>
      </c>
      <c r="I218" s="7" t="s">
        <v>50</v>
      </c>
      <c r="J218" s="7" t="s">
        <v>50</v>
      </c>
      <c r="K218" s="7" t="s">
        <v>51</v>
      </c>
      <c r="L218" s="1">
        <v>0</v>
      </c>
      <c r="M218" s="1"/>
      <c r="N218" s="1" t="s">
        <v>52</v>
      </c>
      <c r="O218" s="1" t="s">
        <v>81</v>
      </c>
      <c r="P218" s="1" t="s">
        <v>82</v>
      </c>
      <c r="Q218" s="1" t="s">
        <v>55</v>
      </c>
      <c r="R218" s="1" t="s">
        <v>56</v>
      </c>
      <c r="S218" s="1" t="s">
        <v>10</v>
      </c>
      <c r="T218" s="8"/>
      <c r="U218" s="8"/>
      <c r="V218" s="1"/>
    </row>
    <row r="219" spans="1:22" ht="30" hidden="1" x14ac:dyDescent="0.25">
      <c r="A219" s="1" t="s">
        <v>607</v>
      </c>
      <c r="B219" s="1" t="s">
        <v>44</v>
      </c>
      <c r="C219" s="1" t="s">
        <v>45</v>
      </c>
      <c r="D219" s="1" t="s">
        <v>608</v>
      </c>
      <c r="E219" s="1" t="s">
        <v>178</v>
      </c>
      <c r="F219" s="1" t="s">
        <v>474</v>
      </c>
      <c r="G219" s="1" t="s">
        <v>179</v>
      </c>
      <c r="H219" s="7" t="s">
        <v>51</v>
      </c>
      <c r="I219" s="7" t="s">
        <v>50</v>
      </c>
      <c r="J219" s="7" t="s">
        <v>50</v>
      </c>
      <c r="K219" s="7" t="s">
        <v>51</v>
      </c>
      <c r="L219" s="1">
        <v>0</v>
      </c>
      <c r="M219" s="1"/>
      <c r="N219" s="1" t="s">
        <v>52</v>
      </c>
      <c r="O219" s="1" t="s">
        <v>81</v>
      </c>
      <c r="P219" s="1" t="s">
        <v>82</v>
      </c>
      <c r="Q219" s="1" t="s">
        <v>55</v>
      </c>
      <c r="R219" s="1" t="s">
        <v>56</v>
      </c>
      <c r="S219" s="1" t="s">
        <v>10</v>
      </c>
      <c r="T219" s="8"/>
      <c r="U219" s="8"/>
      <c r="V219" s="1"/>
    </row>
    <row r="220" spans="1:22" ht="30" hidden="1" x14ac:dyDescent="0.25">
      <c r="A220" s="1" t="s">
        <v>609</v>
      </c>
      <c r="B220" s="1" t="s">
        <v>44</v>
      </c>
      <c r="C220" s="1" t="s">
        <v>45</v>
      </c>
      <c r="D220" s="1" t="s">
        <v>610</v>
      </c>
      <c r="E220" s="1" t="s">
        <v>178</v>
      </c>
      <c r="F220" s="1" t="s">
        <v>474</v>
      </c>
      <c r="G220" s="1" t="s">
        <v>179</v>
      </c>
      <c r="H220" s="7" t="s">
        <v>51</v>
      </c>
      <c r="I220" s="7" t="s">
        <v>50</v>
      </c>
      <c r="J220" s="7" t="s">
        <v>50</v>
      </c>
      <c r="K220" s="7" t="s">
        <v>51</v>
      </c>
      <c r="L220" s="1">
        <v>0</v>
      </c>
      <c r="M220" s="1"/>
      <c r="N220" s="1" t="s">
        <v>52</v>
      </c>
      <c r="O220" s="1" t="s">
        <v>81</v>
      </c>
      <c r="P220" s="1" t="s">
        <v>82</v>
      </c>
      <c r="Q220" s="1" t="s">
        <v>55</v>
      </c>
      <c r="R220" s="1" t="s">
        <v>56</v>
      </c>
      <c r="S220" s="1" t="s">
        <v>10</v>
      </c>
      <c r="T220" s="8"/>
      <c r="U220" s="8"/>
      <c r="V220" s="1"/>
    </row>
    <row r="221" spans="1:22" ht="30" hidden="1" x14ac:dyDescent="0.25">
      <c r="A221" s="1" t="s">
        <v>611</v>
      </c>
      <c r="B221" s="1" t="s">
        <v>44</v>
      </c>
      <c r="C221" s="1" t="s">
        <v>45</v>
      </c>
      <c r="D221" s="1" t="s">
        <v>612</v>
      </c>
      <c r="E221" s="1" t="s">
        <v>178</v>
      </c>
      <c r="F221" s="1" t="s">
        <v>474</v>
      </c>
      <c r="G221" s="1" t="s">
        <v>179</v>
      </c>
      <c r="H221" s="7" t="s">
        <v>51</v>
      </c>
      <c r="I221" s="7" t="s">
        <v>50</v>
      </c>
      <c r="J221" s="7" t="s">
        <v>50</v>
      </c>
      <c r="K221" s="7" t="s">
        <v>51</v>
      </c>
      <c r="L221" s="1">
        <v>0</v>
      </c>
      <c r="M221" s="1"/>
      <c r="N221" s="1" t="s">
        <v>52</v>
      </c>
      <c r="O221" s="1" t="s">
        <v>81</v>
      </c>
      <c r="P221" s="1" t="s">
        <v>82</v>
      </c>
      <c r="Q221" s="1" t="s">
        <v>55</v>
      </c>
      <c r="R221" s="1" t="s">
        <v>56</v>
      </c>
      <c r="S221" s="1" t="s">
        <v>10</v>
      </c>
      <c r="T221" s="8"/>
      <c r="U221" s="8"/>
      <c r="V221" s="1"/>
    </row>
    <row r="222" spans="1:22" ht="30" hidden="1" x14ac:dyDescent="0.25">
      <c r="A222" s="1" t="s">
        <v>613</v>
      </c>
      <c r="B222" s="1" t="s">
        <v>44</v>
      </c>
      <c r="C222" s="1" t="s">
        <v>45</v>
      </c>
      <c r="D222" s="1" t="s">
        <v>614</v>
      </c>
      <c r="E222" s="1" t="s">
        <v>178</v>
      </c>
      <c r="F222" s="1" t="s">
        <v>474</v>
      </c>
      <c r="G222" s="1" t="s">
        <v>66</v>
      </c>
      <c r="H222" s="7" t="s">
        <v>51</v>
      </c>
      <c r="I222" s="7" t="s">
        <v>50</v>
      </c>
      <c r="J222" s="7" t="s">
        <v>50</v>
      </c>
      <c r="K222" s="7" t="s">
        <v>51</v>
      </c>
      <c r="L222" s="1">
        <v>0</v>
      </c>
      <c r="M222" s="1"/>
      <c r="N222" s="1" t="s">
        <v>52</v>
      </c>
      <c r="O222" s="1" t="s">
        <v>53</v>
      </c>
      <c r="P222" s="1" t="s">
        <v>54</v>
      </c>
      <c r="Q222" s="1" t="s">
        <v>55</v>
      </c>
      <c r="R222" s="1" t="s">
        <v>56</v>
      </c>
      <c r="S222" s="1" t="s">
        <v>10</v>
      </c>
      <c r="T222" s="8"/>
      <c r="U222" s="8"/>
      <c r="V222" s="1"/>
    </row>
    <row r="223" spans="1:22" ht="30" hidden="1" x14ac:dyDescent="0.25">
      <c r="A223" s="1" t="s">
        <v>615</v>
      </c>
      <c r="B223" s="1" t="s">
        <v>44</v>
      </c>
      <c r="C223" s="1" t="s">
        <v>45</v>
      </c>
      <c r="D223" s="1" t="s">
        <v>616</v>
      </c>
      <c r="E223" s="1" t="s">
        <v>178</v>
      </c>
      <c r="F223" s="1" t="s">
        <v>474</v>
      </c>
      <c r="G223" s="1" t="s">
        <v>66</v>
      </c>
      <c r="H223" s="7" t="s">
        <v>51</v>
      </c>
      <c r="I223" s="7" t="s">
        <v>50</v>
      </c>
      <c r="J223" s="7" t="s">
        <v>50</v>
      </c>
      <c r="K223" s="7" t="s">
        <v>51</v>
      </c>
      <c r="L223" s="1">
        <v>0</v>
      </c>
      <c r="M223" s="1"/>
      <c r="N223" s="1" t="s">
        <v>52</v>
      </c>
      <c r="O223" s="1" t="s">
        <v>53</v>
      </c>
      <c r="P223" s="1" t="s">
        <v>54</v>
      </c>
      <c r="Q223" s="1" t="s">
        <v>55</v>
      </c>
      <c r="R223" s="1" t="s">
        <v>56</v>
      </c>
      <c r="S223" s="1" t="s">
        <v>10</v>
      </c>
      <c r="T223" s="8"/>
      <c r="U223" s="8"/>
      <c r="V223" s="1"/>
    </row>
    <row r="224" spans="1:22" ht="30" hidden="1" x14ac:dyDescent="0.25">
      <c r="A224" s="1" t="s">
        <v>617</v>
      </c>
      <c r="B224" s="1" t="s">
        <v>44</v>
      </c>
      <c r="C224" s="1" t="s">
        <v>45</v>
      </c>
      <c r="D224" s="1" t="s">
        <v>618</v>
      </c>
      <c r="E224" s="1" t="s">
        <v>178</v>
      </c>
      <c r="F224" s="1" t="s">
        <v>474</v>
      </c>
      <c r="G224" s="1" t="s">
        <v>66</v>
      </c>
      <c r="H224" s="7" t="s">
        <v>51</v>
      </c>
      <c r="I224" s="7" t="s">
        <v>50</v>
      </c>
      <c r="J224" s="7" t="s">
        <v>50</v>
      </c>
      <c r="K224" s="7" t="s">
        <v>51</v>
      </c>
      <c r="L224" s="1">
        <v>0</v>
      </c>
      <c r="M224" s="1"/>
      <c r="N224" s="1" t="s">
        <v>52</v>
      </c>
      <c r="O224" s="1" t="s">
        <v>53</v>
      </c>
      <c r="P224" s="1" t="s">
        <v>54</v>
      </c>
      <c r="Q224" s="1" t="s">
        <v>55</v>
      </c>
      <c r="R224" s="1" t="s">
        <v>56</v>
      </c>
      <c r="S224" s="1" t="s">
        <v>10</v>
      </c>
      <c r="T224" s="8"/>
      <c r="U224" s="8"/>
      <c r="V224" s="1"/>
    </row>
    <row r="225" spans="1:22" ht="30" hidden="1" x14ac:dyDescent="0.25">
      <c r="A225" s="1" t="s">
        <v>619</v>
      </c>
      <c r="B225" s="1" t="s">
        <v>44</v>
      </c>
      <c r="C225" s="1" t="s">
        <v>45</v>
      </c>
      <c r="D225" s="1" t="s">
        <v>620</v>
      </c>
      <c r="E225" s="1" t="s">
        <v>178</v>
      </c>
      <c r="F225" s="1" t="s">
        <v>474</v>
      </c>
      <c r="G225" s="1" t="s">
        <v>66</v>
      </c>
      <c r="H225" s="7" t="s">
        <v>51</v>
      </c>
      <c r="I225" s="7" t="s">
        <v>50</v>
      </c>
      <c r="J225" s="7" t="s">
        <v>50</v>
      </c>
      <c r="K225" s="7" t="s">
        <v>51</v>
      </c>
      <c r="L225" s="1">
        <v>0</v>
      </c>
      <c r="M225" s="1"/>
      <c r="N225" s="1" t="s">
        <v>52</v>
      </c>
      <c r="O225" s="1" t="s">
        <v>53</v>
      </c>
      <c r="P225" s="1" t="s">
        <v>54</v>
      </c>
      <c r="Q225" s="1" t="s">
        <v>55</v>
      </c>
      <c r="R225" s="1" t="s">
        <v>56</v>
      </c>
      <c r="S225" s="1" t="s">
        <v>10</v>
      </c>
      <c r="T225" s="8"/>
      <c r="U225" s="8"/>
      <c r="V225" s="1"/>
    </row>
    <row r="226" spans="1:22" ht="30" hidden="1" x14ac:dyDescent="0.25">
      <c r="A226" s="1" t="s">
        <v>621</v>
      </c>
      <c r="B226" s="1" t="s">
        <v>44</v>
      </c>
      <c r="C226" s="1" t="s">
        <v>45</v>
      </c>
      <c r="D226" s="1" t="s">
        <v>622</v>
      </c>
      <c r="E226" s="1" t="s">
        <v>623</v>
      </c>
      <c r="F226" s="1" t="s">
        <v>474</v>
      </c>
      <c r="G226" s="1" t="s">
        <v>102</v>
      </c>
      <c r="H226" s="7" t="s">
        <v>51</v>
      </c>
      <c r="I226" s="7" t="s">
        <v>50</v>
      </c>
      <c r="J226" s="7" t="s">
        <v>51</v>
      </c>
      <c r="K226" s="7" t="s">
        <v>51</v>
      </c>
      <c r="L226" s="1">
        <v>0</v>
      </c>
      <c r="M226" s="1"/>
      <c r="N226" s="1" t="s">
        <v>52</v>
      </c>
      <c r="O226" s="1" t="s">
        <v>81</v>
      </c>
      <c r="P226" s="1" t="s">
        <v>82</v>
      </c>
      <c r="Q226" s="1" t="s">
        <v>55</v>
      </c>
      <c r="R226" s="1" t="s">
        <v>94</v>
      </c>
      <c r="S226" s="1" t="s">
        <v>18</v>
      </c>
      <c r="T226" s="8"/>
      <c r="U226" s="8"/>
      <c r="V226" s="1"/>
    </row>
    <row r="227" spans="1:22" ht="30" hidden="1" x14ac:dyDescent="0.25">
      <c r="A227" s="1" t="s">
        <v>624</v>
      </c>
      <c r="B227" s="1" t="s">
        <v>44</v>
      </c>
      <c r="C227" s="1" t="s">
        <v>45</v>
      </c>
      <c r="D227" s="1" t="s">
        <v>625</v>
      </c>
      <c r="E227" s="1" t="s">
        <v>623</v>
      </c>
      <c r="F227" s="1" t="s">
        <v>474</v>
      </c>
      <c r="G227" s="1" t="s">
        <v>102</v>
      </c>
      <c r="H227" s="7" t="s">
        <v>51</v>
      </c>
      <c r="I227" s="7" t="s">
        <v>50</v>
      </c>
      <c r="J227" s="7" t="s">
        <v>51</v>
      </c>
      <c r="K227" s="7" t="s">
        <v>51</v>
      </c>
      <c r="L227" s="1">
        <v>0</v>
      </c>
      <c r="M227" s="1"/>
      <c r="N227" s="1" t="s">
        <v>52</v>
      </c>
      <c r="O227" s="1" t="s">
        <v>81</v>
      </c>
      <c r="P227" s="1" t="s">
        <v>82</v>
      </c>
      <c r="Q227" s="1" t="s">
        <v>55</v>
      </c>
      <c r="R227" s="1" t="s">
        <v>94</v>
      </c>
      <c r="S227" s="1" t="s">
        <v>18</v>
      </c>
      <c r="T227" s="8"/>
      <c r="U227" s="8"/>
      <c r="V227" s="1"/>
    </row>
  </sheetData>
  <conditionalFormatting sqref="S2:S227">
    <cfRule type="expression" dxfId="3" priority="1">
      <formula>$S2="Rewrite required"</formula>
    </cfRule>
    <cfRule type="expression" dxfId="2" priority="2">
      <formula>$S2="Replacement exists - validate"</formula>
    </cfRule>
    <cfRule type="expression" dxfId="1" priority="3">
      <formula>$S2="Canary object - validate"</formula>
    </cfRule>
    <cfRule type="expression" dxfId="0" priority="4">
      <formula>$S2="Review retirement"</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47"/>
  <sheetViews>
    <sheetView workbookViewId="0">
      <selection sqref="A1:H647"/>
    </sheetView>
  </sheetViews>
  <sheetFormatPr defaultRowHeight="15" x14ac:dyDescent="0.25"/>
  <sheetData>
    <row r="1" spans="1:8" x14ac:dyDescent="0.25">
      <c r="A1" t="s">
        <v>626</v>
      </c>
      <c r="B1" t="s">
        <v>627</v>
      </c>
      <c r="C1" t="s">
        <v>628</v>
      </c>
      <c r="D1" t="s">
        <v>629</v>
      </c>
      <c r="E1" t="s">
        <v>630</v>
      </c>
      <c r="F1" t="s">
        <v>631</v>
      </c>
      <c r="G1" t="s">
        <v>632</v>
      </c>
      <c r="H1" t="s">
        <v>633</v>
      </c>
    </row>
    <row r="2" spans="1:8" x14ac:dyDescent="0.25">
      <c r="A2" t="s">
        <v>44</v>
      </c>
      <c r="B2" t="s">
        <v>45</v>
      </c>
      <c r="C2" t="s">
        <v>61</v>
      </c>
      <c r="D2" t="s">
        <v>47</v>
      </c>
      <c r="E2">
        <v>1</v>
      </c>
      <c r="F2">
        <v>0</v>
      </c>
      <c r="G2">
        <v>0</v>
      </c>
      <c r="H2">
        <v>1</v>
      </c>
    </row>
    <row r="3" spans="1:8" x14ac:dyDescent="0.25">
      <c r="A3" t="s">
        <v>44</v>
      </c>
      <c r="B3" t="s">
        <v>45</v>
      </c>
      <c r="C3" t="s">
        <v>204</v>
      </c>
      <c r="D3" t="s">
        <v>47</v>
      </c>
      <c r="E3">
        <v>1</v>
      </c>
      <c r="F3">
        <v>0</v>
      </c>
      <c r="G3">
        <v>0</v>
      </c>
      <c r="H3">
        <v>1</v>
      </c>
    </row>
    <row r="4" spans="1:8" x14ac:dyDescent="0.25">
      <c r="A4" t="s">
        <v>44</v>
      </c>
      <c r="B4" t="s">
        <v>45</v>
      </c>
      <c r="C4" t="s">
        <v>338</v>
      </c>
      <c r="D4" t="s">
        <v>47</v>
      </c>
      <c r="E4">
        <v>1</v>
      </c>
      <c r="F4">
        <v>0</v>
      </c>
      <c r="G4">
        <v>0</v>
      </c>
      <c r="H4">
        <v>1</v>
      </c>
    </row>
    <row r="5" spans="1:8" x14ac:dyDescent="0.25">
      <c r="A5" t="s">
        <v>44</v>
      </c>
      <c r="B5" t="s">
        <v>45</v>
      </c>
      <c r="C5" t="s">
        <v>478</v>
      </c>
      <c r="D5" t="s">
        <v>47</v>
      </c>
      <c r="E5">
        <v>1</v>
      </c>
      <c r="F5">
        <v>0</v>
      </c>
      <c r="G5">
        <v>0</v>
      </c>
      <c r="H5">
        <v>1</v>
      </c>
    </row>
    <row r="6" spans="1:8" x14ac:dyDescent="0.25">
      <c r="A6" t="s">
        <v>44</v>
      </c>
      <c r="B6" t="s">
        <v>45</v>
      </c>
      <c r="C6" t="s">
        <v>65</v>
      </c>
      <c r="D6" t="s">
        <v>47</v>
      </c>
      <c r="E6">
        <v>1</v>
      </c>
      <c r="F6">
        <v>0</v>
      </c>
      <c r="G6">
        <v>0</v>
      </c>
      <c r="H6">
        <v>1</v>
      </c>
    </row>
    <row r="7" spans="1:8" x14ac:dyDescent="0.25">
      <c r="A7" t="s">
        <v>44</v>
      </c>
      <c r="B7" t="s">
        <v>45</v>
      </c>
      <c r="C7" t="s">
        <v>207</v>
      </c>
      <c r="D7" t="s">
        <v>47</v>
      </c>
      <c r="E7">
        <v>1</v>
      </c>
      <c r="F7">
        <v>0</v>
      </c>
      <c r="G7">
        <v>0</v>
      </c>
      <c r="H7">
        <v>1</v>
      </c>
    </row>
    <row r="8" spans="1:8" x14ac:dyDescent="0.25">
      <c r="A8" t="s">
        <v>44</v>
      </c>
      <c r="B8" t="s">
        <v>45</v>
      </c>
      <c r="C8" t="s">
        <v>341</v>
      </c>
      <c r="D8" t="s">
        <v>47</v>
      </c>
      <c r="E8">
        <v>1</v>
      </c>
      <c r="F8">
        <v>0</v>
      </c>
      <c r="G8">
        <v>0</v>
      </c>
      <c r="H8">
        <v>1</v>
      </c>
    </row>
    <row r="9" spans="1:8" x14ac:dyDescent="0.25">
      <c r="A9" t="s">
        <v>44</v>
      </c>
      <c r="B9" t="s">
        <v>45</v>
      </c>
      <c r="C9" t="s">
        <v>71</v>
      </c>
      <c r="D9" t="s">
        <v>47</v>
      </c>
      <c r="E9">
        <v>1</v>
      </c>
      <c r="F9">
        <v>0</v>
      </c>
      <c r="G9">
        <v>0</v>
      </c>
      <c r="H9">
        <v>1</v>
      </c>
    </row>
    <row r="10" spans="1:8" x14ac:dyDescent="0.25">
      <c r="A10" t="s">
        <v>44</v>
      </c>
      <c r="B10" t="s">
        <v>45</v>
      </c>
      <c r="C10" t="s">
        <v>216</v>
      </c>
      <c r="D10" t="s">
        <v>47</v>
      </c>
      <c r="E10">
        <v>1</v>
      </c>
      <c r="F10">
        <v>0</v>
      </c>
      <c r="G10">
        <v>0</v>
      </c>
      <c r="H10">
        <v>1</v>
      </c>
    </row>
    <row r="11" spans="1:8" x14ac:dyDescent="0.25">
      <c r="A11" t="s">
        <v>44</v>
      </c>
      <c r="B11" t="s">
        <v>45</v>
      </c>
      <c r="C11" t="s">
        <v>348</v>
      </c>
      <c r="D11" t="s">
        <v>47</v>
      </c>
      <c r="E11">
        <v>1</v>
      </c>
      <c r="F11">
        <v>0</v>
      </c>
      <c r="G11">
        <v>0</v>
      </c>
      <c r="H11">
        <v>1</v>
      </c>
    </row>
    <row r="12" spans="1:8" x14ac:dyDescent="0.25">
      <c r="A12" t="s">
        <v>44</v>
      </c>
      <c r="B12" t="s">
        <v>45</v>
      </c>
      <c r="C12" t="s">
        <v>46</v>
      </c>
      <c r="D12" t="s">
        <v>47</v>
      </c>
      <c r="E12">
        <v>1</v>
      </c>
      <c r="F12">
        <v>0</v>
      </c>
      <c r="G12">
        <v>0</v>
      </c>
      <c r="H12">
        <v>1</v>
      </c>
    </row>
    <row r="13" spans="1:8" x14ac:dyDescent="0.25">
      <c r="A13" t="s">
        <v>44</v>
      </c>
      <c r="B13" t="s">
        <v>45</v>
      </c>
      <c r="C13" t="s">
        <v>194</v>
      </c>
      <c r="D13" t="s">
        <v>47</v>
      </c>
      <c r="E13">
        <v>1</v>
      </c>
      <c r="F13">
        <v>0</v>
      </c>
      <c r="G13">
        <v>0</v>
      </c>
      <c r="H13">
        <v>1</v>
      </c>
    </row>
    <row r="14" spans="1:8" x14ac:dyDescent="0.25">
      <c r="A14" t="s">
        <v>44</v>
      </c>
      <c r="B14" t="s">
        <v>45</v>
      </c>
      <c r="C14" t="s">
        <v>330</v>
      </c>
      <c r="D14" t="s">
        <v>47</v>
      </c>
      <c r="E14">
        <v>1</v>
      </c>
      <c r="F14">
        <v>0</v>
      </c>
      <c r="G14">
        <v>0</v>
      </c>
      <c r="H14">
        <v>1</v>
      </c>
    </row>
    <row r="15" spans="1:8" x14ac:dyDescent="0.25">
      <c r="A15" t="s">
        <v>44</v>
      </c>
      <c r="B15" t="s">
        <v>45</v>
      </c>
      <c r="C15" t="s">
        <v>84</v>
      </c>
      <c r="D15" t="s">
        <v>47</v>
      </c>
      <c r="E15">
        <v>1</v>
      </c>
      <c r="F15">
        <v>0</v>
      </c>
      <c r="G15">
        <v>0</v>
      </c>
      <c r="H15">
        <v>1</v>
      </c>
    </row>
    <row r="16" spans="1:8" x14ac:dyDescent="0.25">
      <c r="A16" t="s">
        <v>44</v>
      </c>
      <c r="B16" t="s">
        <v>45</v>
      </c>
      <c r="C16" t="s">
        <v>87</v>
      </c>
      <c r="D16" t="s">
        <v>47</v>
      </c>
      <c r="E16">
        <v>1</v>
      </c>
      <c r="F16">
        <v>0</v>
      </c>
      <c r="G16">
        <v>0</v>
      </c>
      <c r="H16">
        <v>1</v>
      </c>
    </row>
    <row r="17" spans="1:8" x14ac:dyDescent="0.25">
      <c r="A17" t="s">
        <v>44</v>
      </c>
      <c r="B17" t="s">
        <v>45</v>
      </c>
      <c r="C17" t="s">
        <v>229</v>
      </c>
      <c r="D17" t="s">
        <v>47</v>
      </c>
      <c r="E17">
        <v>1</v>
      </c>
      <c r="F17">
        <v>0</v>
      </c>
      <c r="G17">
        <v>0</v>
      </c>
      <c r="H17">
        <v>1</v>
      </c>
    </row>
    <row r="18" spans="1:8" x14ac:dyDescent="0.25">
      <c r="A18" t="s">
        <v>44</v>
      </c>
      <c r="B18" t="s">
        <v>45</v>
      </c>
      <c r="C18" t="s">
        <v>359</v>
      </c>
      <c r="D18" t="s">
        <v>47</v>
      </c>
      <c r="E18">
        <v>1</v>
      </c>
      <c r="F18">
        <v>0</v>
      </c>
      <c r="G18">
        <v>0</v>
      </c>
      <c r="H18">
        <v>1</v>
      </c>
    </row>
    <row r="19" spans="1:8" x14ac:dyDescent="0.25">
      <c r="A19" t="s">
        <v>44</v>
      </c>
      <c r="B19" t="s">
        <v>45</v>
      </c>
      <c r="C19" t="s">
        <v>91</v>
      </c>
      <c r="D19" t="s">
        <v>92</v>
      </c>
      <c r="E19">
        <v>1</v>
      </c>
      <c r="F19">
        <v>0</v>
      </c>
      <c r="G19">
        <v>0</v>
      </c>
      <c r="H19">
        <v>1</v>
      </c>
    </row>
    <row r="20" spans="1:8" x14ac:dyDescent="0.25">
      <c r="A20" t="s">
        <v>44</v>
      </c>
      <c r="B20" t="s">
        <v>45</v>
      </c>
      <c r="C20" t="s">
        <v>237</v>
      </c>
      <c r="D20" t="s">
        <v>92</v>
      </c>
      <c r="E20">
        <v>1</v>
      </c>
      <c r="F20">
        <v>0</v>
      </c>
      <c r="G20">
        <v>0</v>
      </c>
      <c r="H20">
        <v>1</v>
      </c>
    </row>
    <row r="21" spans="1:8" x14ac:dyDescent="0.25">
      <c r="A21" t="s">
        <v>44</v>
      </c>
      <c r="B21" t="s">
        <v>45</v>
      </c>
      <c r="C21" t="s">
        <v>97</v>
      </c>
      <c r="D21" t="s">
        <v>92</v>
      </c>
      <c r="E21">
        <v>1</v>
      </c>
      <c r="F21">
        <v>0</v>
      </c>
      <c r="G21">
        <v>0</v>
      </c>
      <c r="H21">
        <v>1</v>
      </c>
    </row>
    <row r="22" spans="1:8" x14ac:dyDescent="0.25">
      <c r="A22" t="s">
        <v>44</v>
      </c>
      <c r="B22" t="s">
        <v>45</v>
      </c>
      <c r="C22" t="s">
        <v>240</v>
      </c>
      <c r="D22" t="s">
        <v>92</v>
      </c>
      <c r="E22">
        <v>1</v>
      </c>
      <c r="F22">
        <v>0</v>
      </c>
      <c r="G22">
        <v>0</v>
      </c>
      <c r="H22">
        <v>1</v>
      </c>
    </row>
    <row r="23" spans="1:8" x14ac:dyDescent="0.25">
      <c r="A23" t="s">
        <v>44</v>
      </c>
      <c r="B23" t="s">
        <v>45</v>
      </c>
      <c r="C23" t="s">
        <v>367</v>
      </c>
      <c r="D23" t="s">
        <v>92</v>
      </c>
      <c r="E23">
        <v>1</v>
      </c>
      <c r="F23">
        <v>0</v>
      </c>
      <c r="G23">
        <v>0</v>
      </c>
      <c r="H23">
        <v>1</v>
      </c>
    </row>
    <row r="24" spans="1:8" x14ac:dyDescent="0.25">
      <c r="A24" t="s">
        <v>44</v>
      </c>
      <c r="B24" t="s">
        <v>45</v>
      </c>
      <c r="C24" t="s">
        <v>370</v>
      </c>
      <c r="D24" t="s">
        <v>92</v>
      </c>
      <c r="E24">
        <v>1</v>
      </c>
      <c r="F24">
        <v>0</v>
      </c>
      <c r="G24">
        <v>0</v>
      </c>
      <c r="H24">
        <v>1</v>
      </c>
    </row>
    <row r="25" spans="1:8" x14ac:dyDescent="0.25">
      <c r="A25" t="s">
        <v>44</v>
      </c>
      <c r="B25" t="s">
        <v>45</v>
      </c>
      <c r="C25" t="s">
        <v>373</v>
      </c>
      <c r="D25" t="s">
        <v>92</v>
      </c>
      <c r="E25">
        <v>1</v>
      </c>
      <c r="F25">
        <v>0</v>
      </c>
      <c r="G25">
        <v>0</v>
      </c>
      <c r="H25">
        <v>1</v>
      </c>
    </row>
    <row r="26" spans="1:8" x14ac:dyDescent="0.25">
      <c r="A26" t="s">
        <v>44</v>
      </c>
      <c r="B26" t="s">
        <v>45</v>
      </c>
      <c r="C26" t="s">
        <v>101</v>
      </c>
      <c r="D26" t="s">
        <v>92</v>
      </c>
      <c r="E26">
        <v>1</v>
      </c>
      <c r="F26">
        <v>0</v>
      </c>
      <c r="G26">
        <v>0</v>
      </c>
      <c r="H26">
        <v>1</v>
      </c>
    </row>
    <row r="27" spans="1:8" x14ac:dyDescent="0.25">
      <c r="A27" t="s">
        <v>44</v>
      </c>
      <c r="B27" t="s">
        <v>45</v>
      </c>
      <c r="C27" t="s">
        <v>105</v>
      </c>
      <c r="D27" t="s">
        <v>92</v>
      </c>
      <c r="E27">
        <v>1</v>
      </c>
      <c r="F27">
        <v>0</v>
      </c>
      <c r="G27">
        <v>0</v>
      </c>
      <c r="H27">
        <v>1</v>
      </c>
    </row>
    <row r="28" spans="1:8" x14ac:dyDescent="0.25">
      <c r="A28" t="s">
        <v>44</v>
      </c>
      <c r="B28" t="s">
        <v>45</v>
      </c>
      <c r="C28" t="s">
        <v>108</v>
      </c>
      <c r="D28" t="s">
        <v>92</v>
      </c>
      <c r="E28">
        <v>1</v>
      </c>
      <c r="F28">
        <v>0</v>
      </c>
      <c r="G28">
        <v>0</v>
      </c>
      <c r="H28">
        <v>1</v>
      </c>
    </row>
    <row r="29" spans="1:8" x14ac:dyDescent="0.25">
      <c r="A29" t="s">
        <v>44</v>
      </c>
      <c r="B29" t="s">
        <v>45</v>
      </c>
      <c r="C29" t="s">
        <v>375</v>
      </c>
      <c r="D29" t="s">
        <v>92</v>
      </c>
      <c r="E29">
        <v>1</v>
      </c>
      <c r="F29">
        <v>0</v>
      </c>
      <c r="G29">
        <v>0</v>
      </c>
      <c r="H29">
        <v>1</v>
      </c>
    </row>
    <row r="30" spans="1:8" x14ac:dyDescent="0.25">
      <c r="A30" t="s">
        <v>44</v>
      </c>
      <c r="B30" t="s">
        <v>45</v>
      </c>
      <c r="C30" t="s">
        <v>497</v>
      </c>
      <c r="D30" t="s">
        <v>92</v>
      </c>
      <c r="E30">
        <v>1</v>
      </c>
      <c r="F30">
        <v>0</v>
      </c>
      <c r="G30">
        <v>0</v>
      </c>
      <c r="H30">
        <v>1</v>
      </c>
    </row>
    <row r="31" spans="1:8" x14ac:dyDescent="0.25">
      <c r="A31" t="s">
        <v>44</v>
      </c>
      <c r="B31" t="s">
        <v>45</v>
      </c>
      <c r="C31" t="s">
        <v>500</v>
      </c>
      <c r="D31" t="s">
        <v>92</v>
      </c>
      <c r="E31">
        <v>1</v>
      </c>
      <c r="F31">
        <v>0</v>
      </c>
      <c r="G31">
        <v>0</v>
      </c>
      <c r="H31">
        <v>1</v>
      </c>
    </row>
    <row r="32" spans="1:8" x14ac:dyDescent="0.25">
      <c r="A32" t="s">
        <v>44</v>
      </c>
      <c r="B32" t="s">
        <v>45</v>
      </c>
      <c r="C32" t="s">
        <v>378</v>
      </c>
      <c r="D32" t="s">
        <v>92</v>
      </c>
      <c r="E32">
        <v>1</v>
      </c>
      <c r="F32">
        <v>0</v>
      </c>
      <c r="G32">
        <v>0</v>
      </c>
      <c r="H32">
        <v>1</v>
      </c>
    </row>
    <row r="33" spans="1:8" x14ac:dyDescent="0.25">
      <c r="A33" t="s">
        <v>44</v>
      </c>
      <c r="B33" t="s">
        <v>45</v>
      </c>
      <c r="C33" t="s">
        <v>503</v>
      </c>
      <c r="D33" t="s">
        <v>92</v>
      </c>
      <c r="E33">
        <v>1</v>
      </c>
      <c r="F33">
        <v>0</v>
      </c>
      <c r="G33">
        <v>0</v>
      </c>
      <c r="H33">
        <v>1</v>
      </c>
    </row>
    <row r="34" spans="1:8" x14ac:dyDescent="0.25">
      <c r="A34" t="s">
        <v>44</v>
      </c>
      <c r="B34" t="s">
        <v>45</v>
      </c>
      <c r="C34" t="s">
        <v>508</v>
      </c>
      <c r="D34" t="s">
        <v>92</v>
      </c>
      <c r="E34">
        <v>1</v>
      </c>
      <c r="F34">
        <v>0</v>
      </c>
      <c r="G34">
        <v>0</v>
      </c>
      <c r="H34">
        <v>1</v>
      </c>
    </row>
    <row r="35" spans="1:8" x14ac:dyDescent="0.25">
      <c r="A35" t="s">
        <v>44</v>
      </c>
      <c r="B35" t="s">
        <v>45</v>
      </c>
      <c r="C35" t="s">
        <v>513</v>
      </c>
      <c r="D35" t="s">
        <v>92</v>
      </c>
      <c r="E35">
        <v>1</v>
      </c>
      <c r="F35">
        <v>0</v>
      </c>
      <c r="G35">
        <v>0</v>
      </c>
      <c r="H35">
        <v>1</v>
      </c>
    </row>
    <row r="36" spans="1:8" x14ac:dyDescent="0.25">
      <c r="A36" t="s">
        <v>44</v>
      </c>
      <c r="B36" t="s">
        <v>45</v>
      </c>
      <c r="C36" t="s">
        <v>116</v>
      </c>
      <c r="D36" t="s">
        <v>92</v>
      </c>
      <c r="E36">
        <v>1</v>
      </c>
      <c r="F36">
        <v>0</v>
      </c>
      <c r="G36">
        <v>0</v>
      </c>
      <c r="H36">
        <v>1</v>
      </c>
    </row>
    <row r="37" spans="1:8" x14ac:dyDescent="0.25">
      <c r="A37" t="s">
        <v>44</v>
      </c>
      <c r="B37" t="s">
        <v>45</v>
      </c>
      <c r="C37" t="s">
        <v>120</v>
      </c>
      <c r="D37" t="s">
        <v>92</v>
      </c>
      <c r="E37">
        <v>1</v>
      </c>
      <c r="F37">
        <v>0</v>
      </c>
      <c r="G37">
        <v>0</v>
      </c>
      <c r="H37">
        <v>0</v>
      </c>
    </row>
    <row r="38" spans="1:8" x14ac:dyDescent="0.25">
      <c r="A38" t="s">
        <v>44</v>
      </c>
      <c r="B38" t="s">
        <v>45</v>
      </c>
      <c r="C38" t="s">
        <v>123</v>
      </c>
      <c r="D38" t="s">
        <v>92</v>
      </c>
      <c r="E38">
        <v>1</v>
      </c>
      <c r="F38">
        <v>0</v>
      </c>
      <c r="G38">
        <v>0</v>
      </c>
      <c r="H38">
        <v>0</v>
      </c>
    </row>
    <row r="39" spans="1:8" x14ac:dyDescent="0.25">
      <c r="A39" t="s">
        <v>44</v>
      </c>
      <c r="B39" t="s">
        <v>45</v>
      </c>
      <c r="C39" t="s">
        <v>125</v>
      </c>
      <c r="D39" t="s">
        <v>92</v>
      </c>
      <c r="E39">
        <v>1</v>
      </c>
      <c r="F39">
        <v>0</v>
      </c>
      <c r="G39">
        <v>0</v>
      </c>
      <c r="H39">
        <v>0</v>
      </c>
    </row>
    <row r="40" spans="1:8" x14ac:dyDescent="0.25">
      <c r="A40" t="s">
        <v>44</v>
      </c>
      <c r="B40" t="s">
        <v>45</v>
      </c>
      <c r="C40" t="s">
        <v>128</v>
      </c>
      <c r="D40" t="s">
        <v>92</v>
      </c>
      <c r="E40">
        <v>1</v>
      </c>
      <c r="F40">
        <v>0</v>
      </c>
      <c r="G40">
        <v>0</v>
      </c>
      <c r="H40">
        <v>0</v>
      </c>
    </row>
    <row r="41" spans="1:8" x14ac:dyDescent="0.25">
      <c r="A41" t="s">
        <v>44</v>
      </c>
      <c r="B41" t="s">
        <v>45</v>
      </c>
      <c r="C41" t="s">
        <v>131</v>
      </c>
      <c r="D41" t="s">
        <v>92</v>
      </c>
      <c r="E41">
        <v>1</v>
      </c>
      <c r="F41">
        <v>0</v>
      </c>
      <c r="G41">
        <v>0</v>
      </c>
      <c r="H41">
        <v>1</v>
      </c>
    </row>
    <row r="42" spans="1:8" x14ac:dyDescent="0.25">
      <c r="A42" t="s">
        <v>44</v>
      </c>
      <c r="B42" t="s">
        <v>45</v>
      </c>
      <c r="C42" t="s">
        <v>137</v>
      </c>
      <c r="D42" t="s">
        <v>92</v>
      </c>
      <c r="E42">
        <v>1</v>
      </c>
      <c r="F42">
        <v>0</v>
      </c>
      <c r="G42">
        <v>0</v>
      </c>
      <c r="H42">
        <v>1</v>
      </c>
    </row>
    <row r="43" spans="1:8" x14ac:dyDescent="0.25">
      <c r="A43" t="s">
        <v>44</v>
      </c>
      <c r="B43" t="s">
        <v>45</v>
      </c>
      <c r="C43" t="s">
        <v>142</v>
      </c>
      <c r="D43" t="s">
        <v>92</v>
      </c>
      <c r="E43">
        <v>1</v>
      </c>
      <c r="F43">
        <v>0</v>
      </c>
      <c r="G43">
        <v>0</v>
      </c>
      <c r="H43">
        <v>1</v>
      </c>
    </row>
    <row r="44" spans="1:8" x14ac:dyDescent="0.25">
      <c r="A44" t="s">
        <v>44</v>
      </c>
      <c r="B44" t="s">
        <v>45</v>
      </c>
      <c r="C44" t="s">
        <v>145</v>
      </c>
      <c r="D44" t="s">
        <v>92</v>
      </c>
      <c r="E44">
        <v>1</v>
      </c>
      <c r="F44">
        <v>0</v>
      </c>
      <c r="G44">
        <v>0</v>
      </c>
      <c r="H44">
        <v>1</v>
      </c>
    </row>
    <row r="45" spans="1:8" x14ac:dyDescent="0.25">
      <c r="A45" t="s">
        <v>44</v>
      </c>
      <c r="B45" t="s">
        <v>45</v>
      </c>
      <c r="C45" t="s">
        <v>245</v>
      </c>
      <c r="D45" t="s">
        <v>92</v>
      </c>
      <c r="E45">
        <v>1</v>
      </c>
      <c r="F45">
        <v>0</v>
      </c>
      <c r="G45">
        <v>0</v>
      </c>
      <c r="H45">
        <v>0</v>
      </c>
    </row>
    <row r="46" spans="1:8" x14ac:dyDescent="0.25">
      <c r="A46" t="s">
        <v>44</v>
      </c>
      <c r="B46" t="s">
        <v>45</v>
      </c>
      <c r="C46" t="s">
        <v>248</v>
      </c>
      <c r="D46" t="s">
        <v>92</v>
      </c>
      <c r="E46">
        <v>1</v>
      </c>
      <c r="F46">
        <v>0</v>
      </c>
      <c r="G46">
        <v>0</v>
      </c>
      <c r="H46">
        <v>0</v>
      </c>
    </row>
    <row r="47" spans="1:8" x14ac:dyDescent="0.25">
      <c r="A47" t="s">
        <v>44</v>
      </c>
      <c r="B47" t="s">
        <v>45</v>
      </c>
      <c r="C47" t="s">
        <v>250</v>
      </c>
      <c r="D47" t="s">
        <v>92</v>
      </c>
      <c r="E47">
        <v>1</v>
      </c>
      <c r="F47">
        <v>0</v>
      </c>
      <c r="G47">
        <v>0</v>
      </c>
      <c r="H47">
        <v>0</v>
      </c>
    </row>
    <row r="48" spans="1:8" x14ac:dyDescent="0.25">
      <c r="A48" t="s">
        <v>44</v>
      </c>
      <c r="B48" t="s">
        <v>45</v>
      </c>
      <c r="C48" t="s">
        <v>260</v>
      </c>
      <c r="D48" t="s">
        <v>92</v>
      </c>
      <c r="E48">
        <v>1</v>
      </c>
      <c r="F48">
        <v>0</v>
      </c>
      <c r="G48">
        <v>0</v>
      </c>
      <c r="H48">
        <v>1</v>
      </c>
    </row>
    <row r="49" spans="1:8" x14ac:dyDescent="0.25">
      <c r="A49" t="s">
        <v>44</v>
      </c>
      <c r="B49" t="s">
        <v>45</v>
      </c>
      <c r="C49" t="s">
        <v>405</v>
      </c>
      <c r="D49" t="s">
        <v>92</v>
      </c>
      <c r="E49">
        <v>1</v>
      </c>
      <c r="F49">
        <v>0</v>
      </c>
      <c r="G49">
        <v>0</v>
      </c>
      <c r="H49">
        <v>1</v>
      </c>
    </row>
    <row r="50" spans="1:8" x14ac:dyDescent="0.25">
      <c r="A50" t="s">
        <v>44</v>
      </c>
      <c r="B50" t="s">
        <v>45</v>
      </c>
      <c r="C50" t="s">
        <v>408</v>
      </c>
      <c r="D50" t="s">
        <v>92</v>
      </c>
      <c r="E50">
        <v>1</v>
      </c>
      <c r="F50">
        <v>0</v>
      </c>
      <c r="G50">
        <v>0</v>
      </c>
      <c r="H50">
        <v>1</v>
      </c>
    </row>
    <row r="51" spans="1:8" x14ac:dyDescent="0.25">
      <c r="A51" t="s">
        <v>44</v>
      </c>
      <c r="B51" t="s">
        <v>45</v>
      </c>
      <c r="C51" t="s">
        <v>389</v>
      </c>
      <c r="D51" t="s">
        <v>92</v>
      </c>
      <c r="E51">
        <v>1</v>
      </c>
      <c r="F51">
        <v>0</v>
      </c>
      <c r="G51">
        <v>0</v>
      </c>
      <c r="H51">
        <v>0</v>
      </c>
    </row>
    <row r="52" spans="1:8" x14ac:dyDescent="0.25">
      <c r="A52" t="s">
        <v>44</v>
      </c>
      <c r="B52" t="s">
        <v>45</v>
      </c>
      <c r="C52" t="s">
        <v>394</v>
      </c>
      <c r="D52" t="s">
        <v>92</v>
      </c>
      <c r="E52">
        <v>1</v>
      </c>
      <c r="F52">
        <v>0</v>
      </c>
      <c r="G52">
        <v>0</v>
      </c>
      <c r="H52">
        <v>1</v>
      </c>
    </row>
    <row r="53" spans="1:8" x14ac:dyDescent="0.25">
      <c r="A53" t="s">
        <v>44</v>
      </c>
      <c r="B53" t="s">
        <v>45</v>
      </c>
      <c r="C53" t="s">
        <v>400</v>
      </c>
      <c r="D53" t="s">
        <v>92</v>
      </c>
      <c r="E53">
        <v>1</v>
      </c>
      <c r="F53">
        <v>0</v>
      </c>
      <c r="G53">
        <v>0</v>
      </c>
      <c r="H53">
        <v>1</v>
      </c>
    </row>
    <row r="54" spans="1:8" x14ac:dyDescent="0.25">
      <c r="A54" t="s">
        <v>44</v>
      </c>
      <c r="B54" t="s">
        <v>45</v>
      </c>
      <c r="C54" t="s">
        <v>113</v>
      </c>
      <c r="D54" t="s">
        <v>92</v>
      </c>
      <c r="E54">
        <v>1</v>
      </c>
      <c r="F54">
        <v>0</v>
      </c>
      <c r="G54">
        <v>0</v>
      </c>
      <c r="H54">
        <v>1</v>
      </c>
    </row>
    <row r="55" spans="1:8" x14ac:dyDescent="0.25">
      <c r="A55" t="s">
        <v>44</v>
      </c>
      <c r="B55" t="s">
        <v>45</v>
      </c>
      <c r="C55" t="s">
        <v>520</v>
      </c>
      <c r="D55" t="s">
        <v>92</v>
      </c>
      <c r="E55">
        <v>1</v>
      </c>
      <c r="F55">
        <v>0</v>
      </c>
      <c r="G55">
        <v>0</v>
      </c>
      <c r="H55">
        <v>1</v>
      </c>
    </row>
    <row r="56" spans="1:8" x14ac:dyDescent="0.25">
      <c r="A56" t="s">
        <v>44</v>
      </c>
      <c r="B56" t="s">
        <v>45</v>
      </c>
      <c r="C56" t="s">
        <v>523</v>
      </c>
      <c r="D56" t="s">
        <v>92</v>
      </c>
      <c r="E56">
        <v>1</v>
      </c>
      <c r="F56">
        <v>0</v>
      </c>
      <c r="G56">
        <v>0</v>
      </c>
      <c r="H56">
        <v>1</v>
      </c>
    </row>
    <row r="57" spans="1:8" x14ac:dyDescent="0.25">
      <c r="A57" t="s">
        <v>44</v>
      </c>
      <c r="B57" t="s">
        <v>45</v>
      </c>
      <c r="C57" t="s">
        <v>526</v>
      </c>
      <c r="D57" t="s">
        <v>92</v>
      </c>
      <c r="E57">
        <v>1</v>
      </c>
      <c r="F57">
        <v>0</v>
      </c>
      <c r="G57">
        <v>0</v>
      </c>
      <c r="H57">
        <v>1</v>
      </c>
    </row>
    <row r="58" spans="1:8" x14ac:dyDescent="0.25">
      <c r="A58" t="s">
        <v>44</v>
      </c>
      <c r="B58" t="s">
        <v>45</v>
      </c>
      <c r="C58" t="s">
        <v>174</v>
      </c>
      <c r="D58" t="s">
        <v>92</v>
      </c>
      <c r="E58">
        <v>1</v>
      </c>
      <c r="F58">
        <v>0</v>
      </c>
      <c r="G58">
        <v>0</v>
      </c>
      <c r="H58">
        <v>1</v>
      </c>
    </row>
    <row r="59" spans="1:8" x14ac:dyDescent="0.25">
      <c r="A59" t="s">
        <v>44</v>
      </c>
      <c r="B59" t="s">
        <v>45</v>
      </c>
      <c r="C59" t="s">
        <v>298</v>
      </c>
      <c r="D59" t="s">
        <v>92</v>
      </c>
      <c r="E59">
        <v>1</v>
      </c>
      <c r="F59">
        <v>0</v>
      </c>
      <c r="G59">
        <v>0</v>
      </c>
      <c r="H59">
        <v>1</v>
      </c>
    </row>
    <row r="60" spans="1:8" x14ac:dyDescent="0.25">
      <c r="A60" t="s">
        <v>44</v>
      </c>
      <c r="B60" t="s">
        <v>45</v>
      </c>
      <c r="C60" t="s">
        <v>540</v>
      </c>
      <c r="D60" t="s">
        <v>92</v>
      </c>
      <c r="E60">
        <v>1</v>
      </c>
      <c r="F60">
        <v>0</v>
      </c>
      <c r="G60">
        <v>0</v>
      </c>
      <c r="H60">
        <v>1</v>
      </c>
    </row>
    <row r="61" spans="1:8" x14ac:dyDescent="0.25">
      <c r="A61" t="s">
        <v>44</v>
      </c>
      <c r="B61" t="s">
        <v>45</v>
      </c>
      <c r="C61" t="s">
        <v>413</v>
      </c>
      <c r="D61" t="s">
        <v>92</v>
      </c>
      <c r="E61">
        <v>1</v>
      </c>
      <c r="F61">
        <v>0</v>
      </c>
      <c r="G61">
        <v>0</v>
      </c>
      <c r="H61">
        <v>1</v>
      </c>
    </row>
    <row r="62" spans="1:8" x14ac:dyDescent="0.25">
      <c r="A62" t="s">
        <v>44</v>
      </c>
      <c r="B62" t="s">
        <v>45</v>
      </c>
      <c r="C62" t="s">
        <v>561</v>
      </c>
      <c r="D62" t="s">
        <v>92</v>
      </c>
      <c r="E62">
        <v>1</v>
      </c>
      <c r="F62">
        <v>0</v>
      </c>
      <c r="G62">
        <v>0</v>
      </c>
      <c r="H62">
        <v>1</v>
      </c>
    </row>
    <row r="63" spans="1:8" x14ac:dyDescent="0.25">
      <c r="A63" t="s">
        <v>44</v>
      </c>
      <c r="B63" t="s">
        <v>45</v>
      </c>
      <c r="C63" t="s">
        <v>564</v>
      </c>
      <c r="D63" t="s">
        <v>92</v>
      </c>
      <c r="E63">
        <v>1</v>
      </c>
      <c r="F63">
        <v>0</v>
      </c>
      <c r="G63">
        <v>0</v>
      </c>
      <c r="H63">
        <v>1</v>
      </c>
    </row>
    <row r="64" spans="1:8" x14ac:dyDescent="0.25">
      <c r="A64" t="s">
        <v>44</v>
      </c>
      <c r="B64" t="s">
        <v>45</v>
      </c>
      <c r="C64" t="s">
        <v>148</v>
      </c>
      <c r="D64" t="s">
        <v>92</v>
      </c>
      <c r="E64">
        <v>1</v>
      </c>
      <c r="F64">
        <v>0</v>
      </c>
      <c r="G64">
        <v>0</v>
      </c>
      <c r="H64">
        <v>1</v>
      </c>
    </row>
    <row r="65" spans="1:8" x14ac:dyDescent="0.25">
      <c r="A65" t="s">
        <v>44</v>
      </c>
      <c r="B65" t="s">
        <v>45</v>
      </c>
      <c r="C65" t="s">
        <v>529</v>
      </c>
      <c r="D65" t="s">
        <v>92</v>
      </c>
      <c r="E65">
        <v>1</v>
      </c>
      <c r="F65">
        <v>0</v>
      </c>
      <c r="G65">
        <v>0</v>
      </c>
      <c r="H65">
        <v>1</v>
      </c>
    </row>
    <row r="66" spans="1:8" x14ac:dyDescent="0.25">
      <c r="A66" t="s">
        <v>44</v>
      </c>
      <c r="B66" t="s">
        <v>45</v>
      </c>
      <c r="C66" t="s">
        <v>532</v>
      </c>
      <c r="D66" t="s">
        <v>92</v>
      </c>
      <c r="E66">
        <v>1</v>
      </c>
      <c r="F66">
        <v>0</v>
      </c>
      <c r="G66">
        <v>0</v>
      </c>
      <c r="H66">
        <v>1</v>
      </c>
    </row>
    <row r="67" spans="1:8" x14ac:dyDescent="0.25">
      <c r="A67" t="s">
        <v>44</v>
      </c>
      <c r="B67" t="s">
        <v>45</v>
      </c>
      <c r="C67" t="s">
        <v>535</v>
      </c>
      <c r="D67" t="s">
        <v>92</v>
      </c>
      <c r="E67">
        <v>1</v>
      </c>
      <c r="F67">
        <v>0</v>
      </c>
      <c r="G67">
        <v>0</v>
      </c>
      <c r="H67">
        <v>1</v>
      </c>
    </row>
    <row r="68" spans="1:8" x14ac:dyDescent="0.25">
      <c r="A68" t="s">
        <v>44</v>
      </c>
      <c r="B68" t="s">
        <v>45</v>
      </c>
      <c r="C68" t="s">
        <v>569</v>
      </c>
      <c r="D68" t="s">
        <v>92</v>
      </c>
      <c r="E68">
        <v>1</v>
      </c>
      <c r="F68">
        <v>0</v>
      </c>
      <c r="G68">
        <v>0</v>
      </c>
      <c r="H68">
        <v>1</v>
      </c>
    </row>
    <row r="69" spans="1:8" x14ac:dyDescent="0.25">
      <c r="A69" t="s">
        <v>44</v>
      </c>
      <c r="B69" t="s">
        <v>45</v>
      </c>
      <c r="C69" t="s">
        <v>416</v>
      </c>
      <c r="D69" t="s">
        <v>92</v>
      </c>
      <c r="E69">
        <v>1</v>
      </c>
      <c r="F69">
        <v>0</v>
      </c>
      <c r="G69">
        <v>0</v>
      </c>
      <c r="H69">
        <v>1</v>
      </c>
    </row>
    <row r="70" spans="1:8" x14ac:dyDescent="0.25">
      <c r="A70" t="s">
        <v>44</v>
      </c>
      <c r="B70" t="s">
        <v>45</v>
      </c>
      <c r="C70" t="s">
        <v>572</v>
      </c>
      <c r="D70" t="s">
        <v>92</v>
      </c>
      <c r="E70">
        <v>1</v>
      </c>
      <c r="F70">
        <v>0</v>
      </c>
      <c r="G70">
        <v>0</v>
      </c>
      <c r="H70">
        <v>1</v>
      </c>
    </row>
    <row r="71" spans="1:8" x14ac:dyDescent="0.25">
      <c r="A71" t="s">
        <v>44</v>
      </c>
      <c r="B71" t="s">
        <v>45</v>
      </c>
      <c r="C71" t="s">
        <v>575</v>
      </c>
      <c r="D71" t="s">
        <v>92</v>
      </c>
      <c r="E71">
        <v>1</v>
      </c>
      <c r="F71">
        <v>0</v>
      </c>
      <c r="G71">
        <v>0</v>
      </c>
      <c r="H71">
        <v>1</v>
      </c>
    </row>
    <row r="72" spans="1:8" x14ac:dyDescent="0.25">
      <c r="A72" t="s">
        <v>44</v>
      </c>
      <c r="B72" t="s">
        <v>45</v>
      </c>
      <c r="C72" t="s">
        <v>578</v>
      </c>
      <c r="D72" t="s">
        <v>92</v>
      </c>
      <c r="E72">
        <v>1</v>
      </c>
      <c r="F72">
        <v>0</v>
      </c>
      <c r="G72">
        <v>0</v>
      </c>
      <c r="H72">
        <v>1</v>
      </c>
    </row>
    <row r="73" spans="1:8" x14ac:dyDescent="0.25">
      <c r="A73" t="s">
        <v>44</v>
      </c>
      <c r="B73" t="s">
        <v>45</v>
      </c>
      <c r="C73" t="s">
        <v>581</v>
      </c>
      <c r="D73" t="s">
        <v>92</v>
      </c>
      <c r="E73">
        <v>1</v>
      </c>
      <c r="F73">
        <v>0</v>
      </c>
      <c r="G73">
        <v>0</v>
      </c>
      <c r="H73">
        <v>1</v>
      </c>
    </row>
    <row r="74" spans="1:8" x14ac:dyDescent="0.25">
      <c r="A74" t="s">
        <v>44</v>
      </c>
      <c r="B74" t="s">
        <v>45</v>
      </c>
      <c r="C74" t="s">
        <v>153</v>
      </c>
      <c r="D74" t="s">
        <v>92</v>
      </c>
      <c r="E74">
        <v>1</v>
      </c>
      <c r="F74">
        <v>0</v>
      </c>
      <c r="G74">
        <v>0</v>
      </c>
      <c r="H74">
        <v>1</v>
      </c>
    </row>
    <row r="75" spans="1:8" x14ac:dyDescent="0.25">
      <c r="A75" t="s">
        <v>44</v>
      </c>
      <c r="B75" t="s">
        <v>45</v>
      </c>
      <c r="C75" t="s">
        <v>156</v>
      </c>
      <c r="D75" t="s">
        <v>92</v>
      </c>
      <c r="E75">
        <v>1</v>
      </c>
      <c r="F75">
        <v>0</v>
      </c>
      <c r="G75">
        <v>0</v>
      </c>
      <c r="H75">
        <v>1</v>
      </c>
    </row>
    <row r="76" spans="1:8" x14ac:dyDescent="0.25">
      <c r="A76" t="s">
        <v>44</v>
      </c>
      <c r="B76" t="s">
        <v>45</v>
      </c>
      <c r="C76" t="s">
        <v>270</v>
      </c>
      <c r="D76" t="s">
        <v>92</v>
      </c>
      <c r="E76">
        <v>1</v>
      </c>
      <c r="F76">
        <v>0</v>
      </c>
      <c r="G76">
        <v>0</v>
      </c>
      <c r="H76">
        <v>1</v>
      </c>
    </row>
    <row r="77" spans="1:8" x14ac:dyDescent="0.25">
      <c r="A77" t="s">
        <v>44</v>
      </c>
      <c r="B77" t="s">
        <v>45</v>
      </c>
      <c r="C77" t="s">
        <v>273</v>
      </c>
      <c r="D77" t="s">
        <v>92</v>
      </c>
      <c r="E77">
        <v>1</v>
      </c>
      <c r="F77">
        <v>0</v>
      </c>
      <c r="G77">
        <v>0</v>
      </c>
      <c r="H77">
        <v>1</v>
      </c>
    </row>
    <row r="78" spans="1:8" x14ac:dyDescent="0.25">
      <c r="A78" t="s">
        <v>44</v>
      </c>
      <c r="B78" t="s">
        <v>45</v>
      </c>
      <c r="C78" t="s">
        <v>419</v>
      </c>
      <c r="D78" t="s">
        <v>92</v>
      </c>
      <c r="E78">
        <v>1</v>
      </c>
      <c r="F78">
        <v>0</v>
      </c>
      <c r="G78">
        <v>0</v>
      </c>
      <c r="H78">
        <v>1</v>
      </c>
    </row>
    <row r="79" spans="1:8" x14ac:dyDescent="0.25">
      <c r="A79" t="s">
        <v>44</v>
      </c>
      <c r="B79" t="s">
        <v>45</v>
      </c>
      <c r="C79" t="s">
        <v>586</v>
      </c>
      <c r="D79" t="s">
        <v>92</v>
      </c>
      <c r="E79">
        <v>1</v>
      </c>
      <c r="F79">
        <v>0</v>
      </c>
      <c r="G79">
        <v>0</v>
      </c>
      <c r="H79">
        <v>1</v>
      </c>
    </row>
    <row r="80" spans="1:8" x14ac:dyDescent="0.25">
      <c r="A80" t="s">
        <v>44</v>
      </c>
      <c r="B80" t="s">
        <v>45</v>
      </c>
      <c r="C80" t="s">
        <v>160</v>
      </c>
      <c r="D80" t="s">
        <v>92</v>
      </c>
      <c r="E80">
        <v>1</v>
      </c>
      <c r="F80">
        <v>0</v>
      </c>
      <c r="G80">
        <v>0</v>
      </c>
      <c r="H80">
        <v>1</v>
      </c>
    </row>
    <row r="81" spans="1:8" x14ac:dyDescent="0.25">
      <c r="A81" t="s">
        <v>44</v>
      </c>
      <c r="B81" t="s">
        <v>45</v>
      </c>
      <c r="C81" t="s">
        <v>167</v>
      </c>
      <c r="D81" t="s">
        <v>92</v>
      </c>
      <c r="E81">
        <v>1</v>
      </c>
      <c r="F81">
        <v>0</v>
      </c>
      <c r="G81">
        <v>0</v>
      </c>
      <c r="H81">
        <v>1</v>
      </c>
    </row>
    <row r="82" spans="1:8" x14ac:dyDescent="0.25">
      <c r="A82" t="s">
        <v>44</v>
      </c>
      <c r="B82" t="s">
        <v>45</v>
      </c>
      <c r="C82" t="s">
        <v>275</v>
      </c>
      <c r="D82" t="s">
        <v>92</v>
      </c>
      <c r="E82">
        <v>1</v>
      </c>
      <c r="F82">
        <v>0</v>
      </c>
      <c r="G82">
        <v>0</v>
      </c>
      <c r="H82">
        <v>1</v>
      </c>
    </row>
    <row r="83" spans="1:8" x14ac:dyDescent="0.25">
      <c r="A83" t="s">
        <v>44</v>
      </c>
      <c r="B83" t="s">
        <v>45</v>
      </c>
      <c r="C83" t="s">
        <v>278</v>
      </c>
      <c r="D83" t="s">
        <v>92</v>
      </c>
      <c r="E83">
        <v>1</v>
      </c>
      <c r="F83">
        <v>0</v>
      </c>
      <c r="G83">
        <v>0</v>
      </c>
      <c r="H83">
        <v>1</v>
      </c>
    </row>
    <row r="84" spans="1:8" x14ac:dyDescent="0.25">
      <c r="A84" t="s">
        <v>44</v>
      </c>
      <c r="B84" t="s">
        <v>45</v>
      </c>
      <c r="C84" t="s">
        <v>426</v>
      </c>
      <c r="D84" t="s">
        <v>92</v>
      </c>
      <c r="E84">
        <v>1</v>
      </c>
      <c r="F84">
        <v>0</v>
      </c>
      <c r="G84">
        <v>0</v>
      </c>
      <c r="H84">
        <v>1</v>
      </c>
    </row>
    <row r="85" spans="1:8" x14ac:dyDescent="0.25">
      <c r="A85" t="s">
        <v>44</v>
      </c>
      <c r="B85" t="s">
        <v>45</v>
      </c>
      <c r="C85" t="s">
        <v>429</v>
      </c>
      <c r="D85" t="s">
        <v>92</v>
      </c>
      <c r="E85">
        <v>1</v>
      </c>
      <c r="F85">
        <v>0</v>
      </c>
      <c r="G85">
        <v>0</v>
      </c>
      <c r="H85">
        <v>1</v>
      </c>
    </row>
    <row r="86" spans="1:8" x14ac:dyDescent="0.25">
      <c r="A86" t="s">
        <v>44</v>
      </c>
      <c r="B86" t="s">
        <v>45</v>
      </c>
      <c r="C86" t="s">
        <v>170</v>
      </c>
      <c r="D86" t="s">
        <v>92</v>
      </c>
      <c r="E86">
        <v>1</v>
      </c>
      <c r="F86">
        <v>0</v>
      </c>
      <c r="G86">
        <v>0</v>
      </c>
      <c r="H86">
        <v>1</v>
      </c>
    </row>
    <row r="87" spans="1:8" x14ac:dyDescent="0.25">
      <c r="A87" t="s">
        <v>44</v>
      </c>
      <c r="B87" t="s">
        <v>45</v>
      </c>
      <c r="C87" t="s">
        <v>281</v>
      </c>
      <c r="D87" t="s">
        <v>92</v>
      </c>
      <c r="E87">
        <v>1</v>
      </c>
      <c r="F87">
        <v>0</v>
      </c>
      <c r="G87">
        <v>0</v>
      </c>
      <c r="H87">
        <v>1</v>
      </c>
    </row>
    <row r="88" spans="1:8" x14ac:dyDescent="0.25">
      <c r="A88" t="s">
        <v>44</v>
      </c>
      <c r="B88" t="s">
        <v>45</v>
      </c>
      <c r="C88" t="s">
        <v>432</v>
      </c>
      <c r="D88" t="s">
        <v>92</v>
      </c>
      <c r="E88">
        <v>1</v>
      </c>
      <c r="F88">
        <v>0</v>
      </c>
      <c r="G88">
        <v>0</v>
      </c>
      <c r="H88">
        <v>1</v>
      </c>
    </row>
    <row r="89" spans="1:8" x14ac:dyDescent="0.25">
      <c r="A89" t="s">
        <v>44</v>
      </c>
      <c r="B89" t="s">
        <v>45</v>
      </c>
      <c r="C89" t="s">
        <v>601</v>
      </c>
      <c r="D89" t="s">
        <v>92</v>
      </c>
      <c r="E89">
        <v>1</v>
      </c>
      <c r="F89">
        <v>0</v>
      </c>
      <c r="G89">
        <v>0</v>
      </c>
      <c r="H89">
        <v>1</v>
      </c>
    </row>
    <row r="90" spans="1:8" x14ac:dyDescent="0.25">
      <c r="A90" t="s">
        <v>44</v>
      </c>
      <c r="B90" t="s">
        <v>45</v>
      </c>
      <c r="C90" t="s">
        <v>284</v>
      </c>
      <c r="D90" t="s">
        <v>92</v>
      </c>
      <c r="E90">
        <v>1</v>
      </c>
      <c r="F90">
        <v>0</v>
      </c>
      <c r="G90">
        <v>0</v>
      </c>
      <c r="H90">
        <v>1</v>
      </c>
    </row>
    <row r="91" spans="1:8" x14ac:dyDescent="0.25">
      <c r="A91" t="s">
        <v>44</v>
      </c>
      <c r="B91" t="s">
        <v>45</v>
      </c>
      <c r="C91" t="s">
        <v>291</v>
      </c>
      <c r="D91" t="s">
        <v>92</v>
      </c>
      <c r="E91">
        <v>1</v>
      </c>
      <c r="F91">
        <v>0</v>
      </c>
      <c r="G91">
        <v>0</v>
      </c>
      <c r="H91">
        <v>1</v>
      </c>
    </row>
    <row r="92" spans="1:8" x14ac:dyDescent="0.25">
      <c r="A92" t="s">
        <v>44</v>
      </c>
      <c r="B92" t="s">
        <v>45</v>
      </c>
      <c r="C92" t="s">
        <v>177</v>
      </c>
      <c r="D92" t="s">
        <v>178</v>
      </c>
      <c r="E92">
        <v>1</v>
      </c>
      <c r="F92">
        <v>0</v>
      </c>
      <c r="G92">
        <v>0</v>
      </c>
      <c r="H92">
        <v>1</v>
      </c>
    </row>
    <row r="93" spans="1:8" x14ac:dyDescent="0.25">
      <c r="A93" t="s">
        <v>44</v>
      </c>
      <c r="B93" t="s">
        <v>45</v>
      </c>
      <c r="C93" t="s">
        <v>301</v>
      </c>
      <c r="D93" t="s">
        <v>178</v>
      </c>
      <c r="E93">
        <v>1</v>
      </c>
      <c r="F93">
        <v>0</v>
      </c>
      <c r="G93">
        <v>0</v>
      </c>
      <c r="H93">
        <v>1</v>
      </c>
    </row>
    <row r="94" spans="1:8" x14ac:dyDescent="0.25">
      <c r="A94" t="s">
        <v>44</v>
      </c>
      <c r="B94" t="s">
        <v>45</v>
      </c>
      <c r="C94" t="s">
        <v>435</v>
      </c>
      <c r="D94" t="s">
        <v>178</v>
      </c>
      <c r="E94">
        <v>1</v>
      </c>
      <c r="F94">
        <v>0</v>
      </c>
      <c r="G94">
        <v>0</v>
      </c>
      <c r="H94">
        <v>1</v>
      </c>
    </row>
    <row r="95" spans="1:8" x14ac:dyDescent="0.25">
      <c r="A95" t="s">
        <v>44</v>
      </c>
      <c r="B95" t="s">
        <v>45</v>
      </c>
      <c r="C95" t="s">
        <v>184</v>
      </c>
      <c r="D95" t="s">
        <v>178</v>
      </c>
      <c r="E95">
        <v>1</v>
      </c>
      <c r="F95">
        <v>0</v>
      </c>
      <c r="G95">
        <v>0</v>
      </c>
      <c r="H95">
        <v>1</v>
      </c>
    </row>
    <row r="96" spans="1:8" x14ac:dyDescent="0.25">
      <c r="A96" t="s">
        <v>44</v>
      </c>
      <c r="B96" t="s">
        <v>45</v>
      </c>
      <c r="C96" t="s">
        <v>310</v>
      </c>
      <c r="D96" t="s">
        <v>178</v>
      </c>
      <c r="E96">
        <v>1</v>
      </c>
      <c r="F96">
        <v>0</v>
      </c>
      <c r="G96">
        <v>0</v>
      </c>
      <c r="H96">
        <v>1</v>
      </c>
    </row>
    <row r="97" spans="1:8" x14ac:dyDescent="0.25">
      <c r="A97" t="s">
        <v>44</v>
      </c>
      <c r="B97" t="s">
        <v>45</v>
      </c>
      <c r="C97" t="s">
        <v>442</v>
      </c>
      <c r="D97" t="s">
        <v>178</v>
      </c>
      <c r="E97">
        <v>1</v>
      </c>
      <c r="F97">
        <v>0</v>
      </c>
      <c r="G97">
        <v>0</v>
      </c>
      <c r="H97">
        <v>1</v>
      </c>
    </row>
    <row r="98" spans="1:8" x14ac:dyDescent="0.25">
      <c r="A98" t="s">
        <v>44</v>
      </c>
      <c r="B98" t="s">
        <v>45</v>
      </c>
      <c r="C98" t="s">
        <v>191</v>
      </c>
      <c r="D98" t="s">
        <v>178</v>
      </c>
      <c r="E98">
        <v>1</v>
      </c>
      <c r="F98">
        <v>0</v>
      </c>
      <c r="G98">
        <v>0</v>
      </c>
      <c r="H98">
        <v>1</v>
      </c>
    </row>
    <row r="99" spans="1:8" x14ac:dyDescent="0.25">
      <c r="A99" t="s">
        <v>44</v>
      </c>
      <c r="B99" t="s">
        <v>45</v>
      </c>
      <c r="C99" t="s">
        <v>327</v>
      </c>
      <c r="D99" t="s">
        <v>178</v>
      </c>
      <c r="E99">
        <v>1</v>
      </c>
      <c r="F99">
        <v>0</v>
      </c>
      <c r="G99">
        <v>0</v>
      </c>
      <c r="H99">
        <v>1</v>
      </c>
    </row>
    <row r="100" spans="1:8" x14ac:dyDescent="0.25">
      <c r="A100" t="s">
        <v>44</v>
      </c>
      <c r="B100" t="s">
        <v>45</v>
      </c>
      <c r="C100" t="s">
        <v>453</v>
      </c>
      <c r="D100" t="s">
        <v>178</v>
      </c>
      <c r="E100">
        <v>1</v>
      </c>
      <c r="F100">
        <v>0</v>
      </c>
      <c r="G100">
        <v>0</v>
      </c>
      <c r="H100">
        <v>1</v>
      </c>
    </row>
    <row r="101" spans="1:8" x14ac:dyDescent="0.25">
      <c r="A101" t="s">
        <v>44</v>
      </c>
      <c r="B101" t="s">
        <v>45</v>
      </c>
      <c r="C101" t="s">
        <v>634</v>
      </c>
      <c r="D101" t="s">
        <v>635</v>
      </c>
      <c r="E101">
        <v>0</v>
      </c>
      <c r="F101">
        <v>0</v>
      </c>
      <c r="G101">
        <v>0</v>
      </c>
      <c r="H101">
        <v>0</v>
      </c>
    </row>
    <row r="102" spans="1:8" x14ac:dyDescent="0.25">
      <c r="A102" t="s">
        <v>44</v>
      </c>
      <c r="B102" t="s">
        <v>45</v>
      </c>
      <c r="C102" t="s">
        <v>636</v>
      </c>
      <c r="D102" t="s">
        <v>635</v>
      </c>
      <c r="E102">
        <v>0</v>
      </c>
      <c r="F102">
        <v>0</v>
      </c>
      <c r="G102">
        <v>0</v>
      </c>
      <c r="H102">
        <v>0</v>
      </c>
    </row>
    <row r="103" spans="1:8" x14ac:dyDescent="0.25">
      <c r="A103" t="s">
        <v>44</v>
      </c>
      <c r="B103" t="s">
        <v>45</v>
      </c>
      <c r="C103" t="s">
        <v>637</v>
      </c>
      <c r="D103" t="s">
        <v>635</v>
      </c>
      <c r="E103">
        <v>0</v>
      </c>
      <c r="F103">
        <v>0</v>
      </c>
      <c r="G103">
        <v>0</v>
      </c>
      <c r="H103">
        <v>0</v>
      </c>
    </row>
    <row r="104" spans="1:8" x14ac:dyDescent="0.25">
      <c r="A104" t="s">
        <v>44</v>
      </c>
      <c r="B104" t="s">
        <v>45</v>
      </c>
      <c r="C104" t="s">
        <v>638</v>
      </c>
      <c r="D104" t="s">
        <v>635</v>
      </c>
      <c r="E104">
        <v>0</v>
      </c>
      <c r="F104">
        <v>0</v>
      </c>
      <c r="G104">
        <v>0</v>
      </c>
      <c r="H104">
        <v>0</v>
      </c>
    </row>
    <row r="105" spans="1:8" x14ac:dyDescent="0.25">
      <c r="A105" t="s">
        <v>44</v>
      </c>
      <c r="B105" t="s">
        <v>45</v>
      </c>
      <c r="C105" t="s">
        <v>639</v>
      </c>
      <c r="D105" t="s">
        <v>47</v>
      </c>
      <c r="E105">
        <v>0</v>
      </c>
      <c r="F105">
        <v>0</v>
      </c>
      <c r="G105">
        <v>0</v>
      </c>
      <c r="H105">
        <v>0</v>
      </c>
    </row>
    <row r="106" spans="1:8" x14ac:dyDescent="0.25">
      <c r="A106" t="s">
        <v>44</v>
      </c>
      <c r="B106" t="s">
        <v>45</v>
      </c>
      <c r="C106" t="s">
        <v>640</v>
      </c>
      <c r="D106" t="s">
        <v>47</v>
      </c>
      <c r="E106">
        <v>0</v>
      </c>
      <c r="F106">
        <v>0</v>
      </c>
      <c r="G106">
        <v>0</v>
      </c>
      <c r="H106">
        <v>0</v>
      </c>
    </row>
    <row r="107" spans="1:8" x14ac:dyDescent="0.25">
      <c r="A107" t="s">
        <v>44</v>
      </c>
      <c r="B107" t="s">
        <v>45</v>
      </c>
      <c r="C107" t="s">
        <v>481</v>
      </c>
      <c r="D107" t="s">
        <v>47</v>
      </c>
      <c r="E107">
        <v>0</v>
      </c>
      <c r="F107">
        <v>0</v>
      </c>
      <c r="G107">
        <v>0</v>
      </c>
      <c r="H107">
        <v>1</v>
      </c>
    </row>
    <row r="108" spans="1:8" x14ac:dyDescent="0.25">
      <c r="A108" t="s">
        <v>44</v>
      </c>
      <c r="B108" t="s">
        <v>45</v>
      </c>
      <c r="C108" t="s">
        <v>210</v>
      </c>
      <c r="D108" t="s">
        <v>47</v>
      </c>
      <c r="E108">
        <v>0</v>
      </c>
      <c r="F108">
        <v>0</v>
      </c>
      <c r="G108">
        <v>0</v>
      </c>
      <c r="H108">
        <v>1</v>
      </c>
    </row>
    <row r="109" spans="1:8" x14ac:dyDescent="0.25">
      <c r="A109" t="s">
        <v>44</v>
      </c>
      <c r="B109" t="s">
        <v>45</v>
      </c>
      <c r="C109" t="s">
        <v>212</v>
      </c>
      <c r="D109" t="s">
        <v>47</v>
      </c>
      <c r="E109">
        <v>0</v>
      </c>
      <c r="F109">
        <v>0</v>
      </c>
      <c r="G109">
        <v>0</v>
      </c>
      <c r="H109">
        <v>1</v>
      </c>
    </row>
    <row r="110" spans="1:8" x14ac:dyDescent="0.25">
      <c r="A110" t="s">
        <v>44</v>
      </c>
      <c r="B110" t="s">
        <v>45</v>
      </c>
      <c r="C110" t="s">
        <v>344</v>
      </c>
      <c r="D110" t="s">
        <v>47</v>
      </c>
      <c r="E110">
        <v>0</v>
      </c>
      <c r="F110">
        <v>0</v>
      </c>
      <c r="G110">
        <v>0</v>
      </c>
      <c r="H110">
        <v>1</v>
      </c>
    </row>
    <row r="111" spans="1:8" x14ac:dyDescent="0.25">
      <c r="A111" t="s">
        <v>44</v>
      </c>
      <c r="B111" t="s">
        <v>45</v>
      </c>
      <c r="C111" t="s">
        <v>459</v>
      </c>
      <c r="D111" t="s">
        <v>47</v>
      </c>
      <c r="E111">
        <v>0</v>
      </c>
      <c r="F111">
        <v>0</v>
      </c>
      <c r="G111">
        <v>0</v>
      </c>
      <c r="H111">
        <v>1</v>
      </c>
    </row>
    <row r="112" spans="1:8" x14ac:dyDescent="0.25">
      <c r="A112" t="s">
        <v>44</v>
      </c>
      <c r="B112" t="s">
        <v>45</v>
      </c>
      <c r="C112" t="s">
        <v>69</v>
      </c>
      <c r="D112" t="s">
        <v>47</v>
      </c>
      <c r="E112">
        <v>0</v>
      </c>
      <c r="F112">
        <v>0</v>
      </c>
      <c r="G112">
        <v>0</v>
      </c>
      <c r="H112">
        <v>1</v>
      </c>
    </row>
    <row r="113" spans="1:8" x14ac:dyDescent="0.25">
      <c r="A113" t="s">
        <v>44</v>
      </c>
      <c r="B113" t="s">
        <v>45</v>
      </c>
      <c r="C113" t="s">
        <v>214</v>
      </c>
      <c r="D113" t="s">
        <v>47</v>
      </c>
      <c r="E113">
        <v>0</v>
      </c>
      <c r="F113">
        <v>0</v>
      </c>
      <c r="G113">
        <v>0</v>
      </c>
      <c r="H113">
        <v>1</v>
      </c>
    </row>
    <row r="114" spans="1:8" x14ac:dyDescent="0.25">
      <c r="A114" t="s">
        <v>44</v>
      </c>
      <c r="B114" t="s">
        <v>45</v>
      </c>
      <c r="C114" t="s">
        <v>346</v>
      </c>
      <c r="D114" t="s">
        <v>47</v>
      </c>
      <c r="E114">
        <v>0</v>
      </c>
      <c r="F114">
        <v>0</v>
      </c>
      <c r="G114">
        <v>0</v>
      </c>
      <c r="H114">
        <v>1</v>
      </c>
    </row>
    <row r="115" spans="1:8" x14ac:dyDescent="0.25">
      <c r="A115" t="s">
        <v>44</v>
      </c>
      <c r="B115" t="s">
        <v>45</v>
      </c>
      <c r="C115" t="s">
        <v>483</v>
      </c>
      <c r="D115" t="s">
        <v>47</v>
      </c>
      <c r="E115">
        <v>0</v>
      </c>
      <c r="F115">
        <v>0</v>
      </c>
      <c r="G115">
        <v>0</v>
      </c>
      <c r="H115">
        <v>1</v>
      </c>
    </row>
    <row r="116" spans="1:8" x14ac:dyDescent="0.25">
      <c r="A116" t="s">
        <v>44</v>
      </c>
      <c r="B116" t="s">
        <v>45</v>
      </c>
      <c r="C116" t="s">
        <v>485</v>
      </c>
      <c r="D116" t="s">
        <v>47</v>
      </c>
      <c r="E116">
        <v>0</v>
      </c>
      <c r="F116">
        <v>0</v>
      </c>
      <c r="G116">
        <v>0</v>
      </c>
      <c r="H116">
        <v>1</v>
      </c>
    </row>
    <row r="117" spans="1:8" x14ac:dyDescent="0.25">
      <c r="A117" t="s">
        <v>44</v>
      </c>
      <c r="B117" t="s">
        <v>45</v>
      </c>
      <c r="C117" t="s">
        <v>487</v>
      </c>
      <c r="D117" t="s">
        <v>47</v>
      </c>
      <c r="E117">
        <v>0</v>
      </c>
      <c r="F117">
        <v>0</v>
      </c>
      <c r="G117">
        <v>0</v>
      </c>
      <c r="H117">
        <v>1</v>
      </c>
    </row>
    <row r="118" spans="1:8" x14ac:dyDescent="0.25">
      <c r="A118" t="s">
        <v>44</v>
      </c>
      <c r="B118" t="s">
        <v>45</v>
      </c>
      <c r="C118" t="s">
        <v>219</v>
      </c>
      <c r="D118" t="s">
        <v>47</v>
      </c>
      <c r="E118">
        <v>0</v>
      </c>
      <c r="F118">
        <v>0</v>
      </c>
      <c r="G118">
        <v>0</v>
      </c>
      <c r="H118">
        <v>1</v>
      </c>
    </row>
    <row r="119" spans="1:8" x14ac:dyDescent="0.25">
      <c r="A119" t="s">
        <v>44</v>
      </c>
      <c r="B119" t="s">
        <v>45</v>
      </c>
      <c r="C119" t="s">
        <v>351</v>
      </c>
      <c r="D119" t="s">
        <v>47</v>
      </c>
      <c r="E119">
        <v>0</v>
      </c>
      <c r="F119">
        <v>0</v>
      </c>
      <c r="G119">
        <v>0</v>
      </c>
      <c r="H119">
        <v>1</v>
      </c>
    </row>
    <row r="120" spans="1:8" x14ac:dyDescent="0.25">
      <c r="A120" t="s">
        <v>44</v>
      </c>
      <c r="B120" t="s">
        <v>45</v>
      </c>
      <c r="C120" t="s">
        <v>461</v>
      </c>
      <c r="D120" t="s">
        <v>47</v>
      </c>
      <c r="E120">
        <v>0</v>
      </c>
      <c r="F120">
        <v>0</v>
      </c>
      <c r="G120">
        <v>0</v>
      </c>
      <c r="H120">
        <v>1</v>
      </c>
    </row>
    <row r="121" spans="1:8" x14ac:dyDescent="0.25">
      <c r="A121" t="s">
        <v>44</v>
      </c>
      <c r="B121" t="s">
        <v>45</v>
      </c>
      <c r="C121" t="s">
        <v>74</v>
      </c>
      <c r="D121" t="s">
        <v>47</v>
      </c>
      <c r="E121">
        <v>0</v>
      </c>
      <c r="F121">
        <v>0</v>
      </c>
      <c r="G121">
        <v>0</v>
      </c>
      <c r="H121">
        <v>1</v>
      </c>
    </row>
    <row r="122" spans="1:8" x14ac:dyDescent="0.25">
      <c r="A122" t="s">
        <v>44</v>
      </c>
      <c r="B122" t="s">
        <v>45</v>
      </c>
      <c r="C122" t="s">
        <v>76</v>
      </c>
      <c r="D122" t="s">
        <v>47</v>
      </c>
      <c r="E122">
        <v>0</v>
      </c>
      <c r="F122">
        <v>0</v>
      </c>
      <c r="G122">
        <v>0</v>
      </c>
      <c r="H122">
        <v>1</v>
      </c>
    </row>
    <row r="123" spans="1:8" x14ac:dyDescent="0.25">
      <c r="A123" t="s">
        <v>44</v>
      </c>
      <c r="B123" t="s">
        <v>45</v>
      </c>
      <c r="C123" t="s">
        <v>221</v>
      </c>
      <c r="D123" t="s">
        <v>47</v>
      </c>
      <c r="E123">
        <v>0</v>
      </c>
      <c r="F123">
        <v>0</v>
      </c>
      <c r="G123">
        <v>0</v>
      </c>
      <c r="H123">
        <v>1</v>
      </c>
    </row>
    <row r="124" spans="1:8" x14ac:dyDescent="0.25">
      <c r="A124" t="s">
        <v>44</v>
      </c>
      <c r="B124" t="s">
        <v>45</v>
      </c>
      <c r="C124" t="s">
        <v>353</v>
      </c>
      <c r="D124" t="s">
        <v>47</v>
      </c>
      <c r="E124">
        <v>0</v>
      </c>
      <c r="F124">
        <v>0</v>
      </c>
      <c r="G124">
        <v>0</v>
      </c>
      <c r="H124">
        <v>1</v>
      </c>
    </row>
    <row r="125" spans="1:8" x14ac:dyDescent="0.25">
      <c r="A125" t="s">
        <v>44</v>
      </c>
      <c r="B125" t="s">
        <v>45</v>
      </c>
      <c r="C125" t="s">
        <v>641</v>
      </c>
      <c r="D125" t="s">
        <v>47</v>
      </c>
      <c r="E125">
        <v>0</v>
      </c>
      <c r="F125">
        <v>0</v>
      </c>
      <c r="G125">
        <v>0</v>
      </c>
      <c r="H125">
        <v>0</v>
      </c>
    </row>
    <row r="126" spans="1:8" x14ac:dyDescent="0.25">
      <c r="A126" t="s">
        <v>44</v>
      </c>
      <c r="B126" t="s">
        <v>45</v>
      </c>
      <c r="C126" t="s">
        <v>642</v>
      </c>
      <c r="D126" t="s">
        <v>47</v>
      </c>
      <c r="E126">
        <v>0</v>
      </c>
      <c r="F126">
        <v>0</v>
      </c>
      <c r="G126">
        <v>0</v>
      </c>
      <c r="H126">
        <v>0</v>
      </c>
    </row>
    <row r="127" spans="1:8" x14ac:dyDescent="0.25">
      <c r="A127" t="s">
        <v>44</v>
      </c>
      <c r="B127" t="s">
        <v>45</v>
      </c>
      <c r="C127" t="s">
        <v>473</v>
      </c>
      <c r="D127" t="s">
        <v>47</v>
      </c>
      <c r="E127">
        <v>0</v>
      </c>
      <c r="F127">
        <v>0</v>
      </c>
      <c r="G127">
        <v>0</v>
      </c>
      <c r="H127">
        <v>1</v>
      </c>
    </row>
    <row r="128" spans="1:8" x14ac:dyDescent="0.25">
      <c r="A128" t="s">
        <v>44</v>
      </c>
      <c r="B128" t="s">
        <v>45</v>
      </c>
      <c r="C128" t="s">
        <v>476</v>
      </c>
      <c r="D128" t="s">
        <v>47</v>
      </c>
      <c r="E128">
        <v>0</v>
      </c>
      <c r="F128">
        <v>0</v>
      </c>
      <c r="G128">
        <v>0</v>
      </c>
      <c r="H128">
        <v>1</v>
      </c>
    </row>
    <row r="129" spans="1:8" x14ac:dyDescent="0.25">
      <c r="A129" t="s">
        <v>44</v>
      </c>
      <c r="B129" t="s">
        <v>45</v>
      </c>
      <c r="C129" t="s">
        <v>198</v>
      </c>
      <c r="D129" t="s">
        <v>47</v>
      </c>
      <c r="E129">
        <v>0</v>
      </c>
      <c r="F129">
        <v>0</v>
      </c>
      <c r="G129">
        <v>0</v>
      </c>
      <c r="H129">
        <v>1</v>
      </c>
    </row>
    <row r="130" spans="1:8" x14ac:dyDescent="0.25">
      <c r="A130" t="s">
        <v>44</v>
      </c>
      <c r="B130" t="s">
        <v>45</v>
      </c>
      <c r="C130" t="s">
        <v>200</v>
      </c>
      <c r="D130" t="s">
        <v>47</v>
      </c>
      <c r="E130">
        <v>0</v>
      </c>
      <c r="F130">
        <v>0</v>
      </c>
      <c r="G130">
        <v>0</v>
      </c>
      <c r="H130">
        <v>1</v>
      </c>
    </row>
    <row r="131" spans="1:8" x14ac:dyDescent="0.25">
      <c r="A131" t="s">
        <v>44</v>
      </c>
      <c r="B131" t="s">
        <v>45</v>
      </c>
      <c r="C131" t="s">
        <v>334</v>
      </c>
      <c r="D131" t="s">
        <v>47</v>
      </c>
      <c r="E131">
        <v>0</v>
      </c>
      <c r="F131">
        <v>0</v>
      </c>
      <c r="G131">
        <v>0</v>
      </c>
      <c r="H131">
        <v>1</v>
      </c>
    </row>
    <row r="132" spans="1:8" x14ac:dyDescent="0.25">
      <c r="A132" t="s">
        <v>44</v>
      </c>
      <c r="B132" t="s">
        <v>45</v>
      </c>
      <c r="C132" t="s">
        <v>456</v>
      </c>
      <c r="D132" t="s">
        <v>47</v>
      </c>
      <c r="E132">
        <v>0</v>
      </c>
      <c r="F132">
        <v>0</v>
      </c>
      <c r="G132">
        <v>0</v>
      </c>
      <c r="H132">
        <v>1</v>
      </c>
    </row>
    <row r="133" spans="1:8" x14ac:dyDescent="0.25">
      <c r="A133" t="s">
        <v>44</v>
      </c>
      <c r="B133" t="s">
        <v>45</v>
      </c>
      <c r="C133" t="s">
        <v>59</v>
      </c>
      <c r="D133" t="s">
        <v>47</v>
      </c>
      <c r="E133">
        <v>0</v>
      </c>
      <c r="F133">
        <v>0</v>
      </c>
      <c r="G133">
        <v>0</v>
      </c>
      <c r="H133">
        <v>1</v>
      </c>
    </row>
    <row r="134" spans="1:8" x14ac:dyDescent="0.25">
      <c r="A134" t="s">
        <v>44</v>
      </c>
      <c r="B134" t="s">
        <v>45</v>
      </c>
      <c r="C134" t="s">
        <v>202</v>
      </c>
      <c r="D134" t="s">
        <v>47</v>
      </c>
      <c r="E134">
        <v>0</v>
      </c>
      <c r="F134">
        <v>0</v>
      </c>
      <c r="G134">
        <v>0</v>
      </c>
      <c r="H134">
        <v>1</v>
      </c>
    </row>
    <row r="135" spans="1:8" x14ac:dyDescent="0.25">
      <c r="A135" t="s">
        <v>44</v>
      </c>
      <c r="B135" t="s">
        <v>45</v>
      </c>
      <c r="C135" t="s">
        <v>336</v>
      </c>
      <c r="D135" t="s">
        <v>47</v>
      </c>
      <c r="E135">
        <v>0</v>
      </c>
      <c r="F135">
        <v>0</v>
      </c>
      <c r="G135">
        <v>0</v>
      </c>
      <c r="H135">
        <v>1</v>
      </c>
    </row>
    <row r="136" spans="1:8" x14ac:dyDescent="0.25">
      <c r="A136" t="s">
        <v>44</v>
      </c>
      <c r="B136" t="s">
        <v>45</v>
      </c>
      <c r="C136" t="s">
        <v>489</v>
      </c>
      <c r="D136" t="s">
        <v>47</v>
      </c>
      <c r="E136">
        <v>0</v>
      </c>
      <c r="F136">
        <v>0</v>
      </c>
      <c r="G136">
        <v>0</v>
      </c>
      <c r="H136">
        <v>1</v>
      </c>
    </row>
    <row r="137" spans="1:8" x14ac:dyDescent="0.25">
      <c r="A137" t="s">
        <v>44</v>
      </c>
      <c r="B137" t="s">
        <v>45</v>
      </c>
      <c r="C137" t="s">
        <v>491</v>
      </c>
      <c r="D137" t="s">
        <v>47</v>
      </c>
      <c r="E137">
        <v>0</v>
      </c>
      <c r="F137">
        <v>0</v>
      </c>
      <c r="G137">
        <v>0</v>
      </c>
      <c r="H137">
        <v>1</v>
      </c>
    </row>
    <row r="138" spans="1:8" x14ac:dyDescent="0.25">
      <c r="A138" t="s">
        <v>44</v>
      </c>
      <c r="B138" t="s">
        <v>45</v>
      </c>
      <c r="C138" t="s">
        <v>223</v>
      </c>
      <c r="D138" t="s">
        <v>47</v>
      </c>
      <c r="E138">
        <v>0</v>
      </c>
      <c r="F138">
        <v>0</v>
      </c>
      <c r="G138">
        <v>0</v>
      </c>
      <c r="H138">
        <v>1</v>
      </c>
    </row>
    <row r="139" spans="1:8" x14ac:dyDescent="0.25">
      <c r="A139" t="s">
        <v>44</v>
      </c>
      <c r="B139" t="s">
        <v>45</v>
      </c>
      <c r="C139" t="s">
        <v>225</v>
      </c>
      <c r="D139" t="s">
        <v>47</v>
      </c>
      <c r="E139">
        <v>0</v>
      </c>
      <c r="F139">
        <v>0</v>
      </c>
      <c r="G139">
        <v>0</v>
      </c>
      <c r="H139">
        <v>1</v>
      </c>
    </row>
    <row r="140" spans="1:8" x14ac:dyDescent="0.25">
      <c r="A140" t="s">
        <v>44</v>
      </c>
      <c r="B140" t="s">
        <v>45</v>
      </c>
      <c r="C140" t="s">
        <v>355</v>
      </c>
      <c r="D140" t="s">
        <v>47</v>
      </c>
      <c r="E140">
        <v>0</v>
      </c>
      <c r="F140">
        <v>0</v>
      </c>
      <c r="G140">
        <v>0</v>
      </c>
      <c r="H140">
        <v>1</v>
      </c>
    </row>
    <row r="141" spans="1:8" x14ac:dyDescent="0.25">
      <c r="A141" t="s">
        <v>44</v>
      </c>
      <c r="B141" t="s">
        <v>45</v>
      </c>
      <c r="C141" t="s">
        <v>463</v>
      </c>
      <c r="D141" t="s">
        <v>47</v>
      </c>
      <c r="E141">
        <v>0</v>
      </c>
      <c r="F141">
        <v>0</v>
      </c>
      <c r="G141">
        <v>0</v>
      </c>
      <c r="H141">
        <v>1</v>
      </c>
    </row>
    <row r="142" spans="1:8" x14ac:dyDescent="0.25">
      <c r="A142" t="s">
        <v>44</v>
      </c>
      <c r="B142" t="s">
        <v>45</v>
      </c>
      <c r="C142" t="s">
        <v>80</v>
      </c>
      <c r="D142" t="s">
        <v>47</v>
      </c>
      <c r="E142">
        <v>0</v>
      </c>
      <c r="F142">
        <v>0</v>
      </c>
      <c r="G142">
        <v>0</v>
      </c>
      <c r="H142">
        <v>1</v>
      </c>
    </row>
    <row r="143" spans="1:8" x14ac:dyDescent="0.25">
      <c r="A143" t="s">
        <v>44</v>
      </c>
      <c r="B143" t="s">
        <v>45</v>
      </c>
      <c r="C143" t="s">
        <v>227</v>
      </c>
      <c r="D143" t="s">
        <v>47</v>
      </c>
      <c r="E143">
        <v>0</v>
      </c>
      <c r="F143">
        <v>0</v>
      </c>
      <c r="G143">
        <v>0</v>
      </c>
      <c r="H143">
        <v>1</v>
      </c>
    </row>
    <row r="144" spans="1:8" x14ac:dyDescent="0.25">
      <c r="A144" t="s">
        <v>44</v>
      </c>
      <c r="B144" t="s">
        <v>45</v>
      </c>
      <c r="C144" t="s">
        <v>357</v>
      </c>
      <c r="D144" t="s">
        <v>47</v>
      </c>
      <c r="E144">
        <v>0</v>
      </c>
      <c r="F144">
        <v>0</v>
      </c>
      <c r="G144">
        <v>0</v>
      </c>
      <c r="H144">
        <v>1</v>
      </c>
    </row>
    <row r="145" spans="1:8" x14ac:dyDescent="0.25">
      <c r="A145" t="s">
        <v>44</v>
      </c>
      <c r="B145" t="s">
        <v>45</v>
      </c>
      <c r="C145" t="s">
        <v>643</v>
      </c>
      <c r="D145" t="s">
        <v>47</v>
      </c>
      <c r="E145">
        <v>0</v>
      </c>
      <c r="F145">
        <v>0</v>
      </c>
      <c r="G145">
        <v>0</v>
      </c>
      <c r="H145">
        <v>0</v>
      </c>
    </row>
    <row r="146" spans="1:8" x14ac:dyDescent="0.25">
      <c r="A146" t="s">
        <v>44</v>
      </c>
      <c r="B146" t="s">
        <v>45</v>
      </c>
      <c r="C146" t="s">
        <v>493</v>
      </c>
      <c r="D146" t="s">
        <v>47</v>
      </c>
      <c r="E146">
        <v>0</v>
      </c>
      <c r="F146">
        <v>0</v>
      </c>
      <c r="G146">
        <v>0</v>
      </c>
      <c r="H146">
        <v>1</v>
      </c>
    </row>
    <row r="147" spans="1:8" x14ac:dyDescent="0.25">
      <c r="A147" t="s">
        <v>44</v>
      </c>
      <c r="B147" t="s">
        <v>45</v>
      </c>
      <c r="C147" t="s">
        <v>495</v>
      </c>
      <c r="D147" t="s">
        <v>47</v>
      </c>
      <c r="E147">
        <v>0</v>
      </c>
      <c r="F147">
        <v>0</v>
      </c>
      <c r="G147">
        <v>0</v>
      </c>
      <c r="H147">
        <v>1</v>
      </c>
    </row>
    <row r="148" spans="1:8" x14ac:dyDescent="0.25">
      <c r="A148" t="s">
        <v>44</v>
      </c>
      <c r="B148" t="s">
        <v>45</v>
      </c>
      <c r="C148" t="s">
        <v>231</v>
      </c>
      <c r="D148" t="s">
        <v>47</v>
      </c>
      <c r="E148">
        <v>0</v>
      </c>
      <c r="F148">
        <v>0</v>
      </c>
      <c r="G148">
        <v>0</v>
      </c>
      <c r="H148">
        <v>1</v>
      </c>
    </row>
    <row r="149" spans="1:8" x14ac:dyDescent="0.25">
      <c r="A149" t="s">
        <v>44</v>
      </c>
      <c r="B149" t="s">
        <v>45</v>
      </c>
      <c r="C149" t="s">
        <v>233</v>
      </c>
      <c r="D149" t="s">
        <v>47</v>
      </c>
      <c r="E149">
        <v>0</v>
      </c>
      <c r="F149">
        <v>0</v>
      </c>
      <c r="G149">
        <v>0</v>
      </c>
      <c r="H149">
        <v>1</v>
      </c>
    </row>
    <row r="150" spans="1:8" x14ac:dyDescent="0.25">
      <c r="A150" t="s">
        <v>44</v>
      </c>
      <c r="B150" t="s">
        <v>45</v>
      </c>
      <c r="C150" t="s">
        <v>361</v>
      </c>
      <c r="D150" t="s">
        <v>47</v>
      </c>
      <c r="E150">
        <v>0</v>
      </c>
      <c r="F150">
        <v>0</v>
      </c>
      <c r="G150">
        <v>0</v>
      </c>
      <c r="H150">
        <v>1</v>
      </c>
    </row>
    <row r="151" spans="1:8" x14ac:dyDescent="0.25">
      <c r="A151" t="s">
        <v>44</v>
      </c>
      <c r="B151" t="s">
        <v>45</v>
      </c>
      <c r="C151" t="s">
        <v>465</v>
      </c>
      <c r="D151" t="s">
        <v>47</v>
      </c>
      <c r="E151">
        <v>0</v>
      </c>
      <c r="F151">
        <v>0</v>
      </c>
      <c r="G151">
        <v>0</v>
      </c>
      <c r="H151">
        <v>1</v>
      </c>
    </row>
    <row r="152" spans="1:8" x14ac:dyDescent="0.25">
      <c r="A152" t="s">
        <v>44</v>
      </c>
      <c r="B152" t="s">
        <v>45</v>
      </c>
      <c r="C152" t="s">
        <v>89</v>
      </c>
      <c r="D152" t="s">
        <v>47</v>
      </c>
      <c r="E152">
        <v>0</v>
      </c>
      <c r="F152">
        <v>0</v>
      </c>
      <c r="G152">
        <v>0</v>
      </c>
      <c r="H152">
        <v>1</v>
      </c>
    </row>
    <row r="153" spans="1:8" x14ac:dyDescent="0.25">
      <c r="A153" t="s">
        <v>44</v>
      </c>
      <c r="B153" t="s">
        <v>45</v>
      </c>
      <c r="C153" t="s">
        <v>235</v>
      </c>
      <c r="D153" t="s">
        <v>47</v>
      </c>
      <c r="E153">
        <v>0</v>
      </c>
      <c r="F153">
        <v>0</v>
      </c>
      <c r="G153">
        <v>0</v>
      </c>
      <c r="H153">
        <v>1</v>
      </c>
    </row>
    <row r="154" spans="1:8" x14ac:dyDescent="0.25">
      <c r="A154" t="s">
        <v>44</v>
      </c>
      <c r="B154" t="s">
        <v>45</v>
      </c>
      <c r="C154" t="s">
        <v>363</v>
      </c>
      <c r="D154" t="s">
        <v>47</v>
      </c>
      <c r="E154">
        <v>0</v>
      </c>
      <c r="F154">
        <v>0</v>
      </c>
      <c r="G154">
        <v>0</v>
      </c>
      <c r="H154">
        <v>1</v>
      </c>
    </row>
    <row r="155" spans="1:8" x14ac:dyDescent="0.25">
      <c r="A155" t="s">
        <v>44</v>
      </c>
      <c r="B155" t="s">
        <v>45</v>
      </c>
      <c r="C155" t="s">
        <v>644</v>
      </c>
      <c r="D155" t="s">
        <v>47</v>
      </c>
      <c r="E155">
        <v>0</v>
      </c>
      <c r="F155">
        <v>0</v>
      </c>
      <c r="G155">
        <v>0</v>
      </c>
      <c r="H155">
        <v>0</v>
      </c>
    </row>
    <row r="156" spans="1:8" x14ac:dyDescent="0.25">
      <c r="A156" t="s">
        <v>44</v>
      </c>
      <c r="B156" t="s">
        <v>45</v>
      </c>
      <c r="C156" t="s">
        <v>645</v>
      </c>
      <c r="D156" t="s">
        <v>47</v>
      </c>
      <c r="E156">
        <v>0</v>
      </c>
      <c r="F156">
        <v>0</v>
      </c>
      <c r="G156">
        <v>0</v>
      </c>
      <c r="H156">
        <v>0</v>
      </c>
    </row>
    <row r="157" spans="1:8" x14ac:dyDescent="0.25">
      <c r="A157" t="s">
        <v>44</v>
      </c>
      <c r="B157" t="s">
        <v>45</v>
      </c>
      <c r="C157" t="s">
        <v>646</v>
      </c>
      <c r="D157" t="s">
        <v>47</v>
      </c>
      <c r="E157">
        <v>0</v>
      </c>
      <c r="F157">
        <v>0</v>
      </c>
      <c r="G157">
        <v>0</v>
      </c>
      <c r="H157">
        <v>0</v>
      </c>
    </row>
    <row r="158" spans="1:8" x14ac:dyDescent="0.25">
      <c r="A158" t="s">
        <v>44</v>
      </c>
      <c r="B158" t="s">
        <v>45</v>
      </c>
      <c r="C158" t="s">
        <v>647</v>
      </c>
      <c r="D158" t="s">
        <v>47</v>
      </c>
      <c r="E158">
        <v>0</v>
      </c>
      <c r="F158">
        <v>0</v>
      </c>
      <c r="G158">
        <v>0</v>
      </c>
      <c r="H158">
        <v>0</v>
      </c>
    </row>
    <row r="159" spans="1:8" x14ac:dyDescent="0.25">
      <c r="A159" t="s">
        <v>44</v>
      </c>
      <c r="B159" t="s">
        <v>45</v>
      </c>
      <c r="C159" t="s">
        <v>365</v>
      </c>
      <c r="D159" t="s">
        <v>92</v>
      </c>
      <c r="E159">
        <v>0</v>
      </c>
      <c r="F159">
        <v>0</v>
      </c>
      <c r="G159">
        <v>0</v>
      </c>
      <c r="H159">
        <v>1</v>
      </c>
    </row>
    <row r="160" spans="1:8" x14ac:dyDescent="0.25">
      <c r="A160" t="s">
        <v>44</v>
      </c>
      <c r="B160" t="s">
        <v>45</v>
      </c>
      <c r="C160" t="s">
        <v>648</v>
      </c>
      <c r="D160" t="s">
        <v>92</v>
      </c>
      <c r="E160">
        <v>0</v>
      </c>
      <c r="F160">
        <v>0</v>
      </c>
      <c r="G160">
        <v>0</v>
      </c>
      <c r="H160">
        <v>0</v>
      </c>
    </row>
    <row r="161" spans="1:8" x14ac:dyDescent="0.25">
      <c r="A161" t="s">
        <v>44</v>
      </c>
      <c r="B161" t="s">
        <v>45</v>
      </c>
      <c r="C161" t="s">
        <v>649</v>
      </c>
      <c r="D161" t="s">
        <v>92</v>
      </c>
      <c r="E161">
        <v>0</v>
      </c>
      <c r="F161">
        <v>0</v>
      </c>
      <c r="G161">
        <v>0</v>
      </c>
      <c r="H161">
        <v>0</v>
      </c>
    </row>
    <row r="162" spans="1:8" x14ac:dyDescent="0.25">
      <c r="A162" t="s">
        <v>44</v>
      </c>
      <c r="B162" t="s">
        <v>45</v>
      </c>
      <c r="C162" t="s">
        <v>650</v>
      </c>
      <c r="D162" t="s">
        <v>92</v>
      </c>
      <c r="E162">
        <v>0</v>
      </c>
      <c r="F162">
        <v>0</v>
      </c>
      <c r="G162">
        <v>0</v>
      </c>
      <c r="H162">
        <v>0</v>
      </c>
    </row>
    <row r="163" spans="1:8" x14ac:dyDescent="0.25">
      <c r="A163" t="s">
        <v>44</v>
      </c>
      <c r="B163" t="s">
        <v>45</v>
      </c>
      <c r="C163" t="s">
        <v>651</v>
      </c>
      <c r="D163" t="s">
        <v>92</v>
      </c>
      <c r="E163">
        <v>0</v>
      </c>
      <c r="F163">
        <v>0</v>
      </c>
      <c r="G163">
        <v>0</v>
      </c>
      <c r="H163">
        <v>0</v>
      </c>
    </row>
    <row r="164" spans="1:8" x14ac:dyDescent="0.25">
      <c r="A164" t="s">
        <v>44</v>
      </c>
      <c r="B164" t="s">
        <v>45</v>
      </c>
      <c r="C164" t="s">
        <v>652</v>
      </c>
      <c r="D164" t="s">
        <v>92</v>
      </c>
      <c r="E164">
        <v>0</v>
      </c>
      <c r="F164">
        <v>0</v>
      </c>
      <c r="G164">
        <v>0</v>
      </c>
      <c r="H164">
        <v>0</v>
      </c>
    </row>
    <row r="165" spans="1:8" x14ac:dyDescent="0.25">
      <c r="A165" t="s">
        <v>44</v>
      </c>
      <c r="B165" t="s">
        <v>45</v>
      </c>
      <c r="C165" t="s">
        <v>653</v>
      </c>
      <c r="D165" t="s">
        <v>92</v>
      </c>
      <c r="E165">
        <v>0</v>
      </c>
      <c r="F165">
        <v>0</v>
      </c>
      <c r="G165">
        <v>0</v>
      </c>
      <c r="H165">
        <v>0</v>
      </c>
    </row>
    <row r="166" spans="1:8" x14ac:dyDescent="0.25">
      <c r="A166" t="s">
        <v>44</v>
      </c>
      <c r="B166" t="s">
        <v>45</v>
      </c>
      <c r="C166" t="s">
        <v>654</v>
      </c>
      <c r="D166" t="s">
        <v>92</v>
      </c>
      <c r="E166">
        <v>0</v>
      </c>
      <c r="F166">
        <v>0</v>
      </c>
      <c r="G166">
        <v>0</v>
      </c>
      <c r="H166">
        <v>0</v>
      </c>
    </row>
    <row r="167" spans="1:8" x14ac:dyDescent="0.25">
      <c r="A167" t="s">
        <v>44</v>
      </c>
      <c r="B167" t="s">
        <v>45</v>
      </c>
      <c r="C167" t="s">
        <v>655</v>
      </c>
      <c r="D167" t="s">
        <v>92</v>
      </c>
      <c r="E167">
        <v>0</v>
      </c>
      <c r="F167">
        <v>0</v>
      </c>
      <c r="G167">
        <v>0</v>
      </c>
      <c r="H167">
        <v>0</v>
      </c>
    </row>
    <row r="168" spans="1:8" x14ac:dyDescent="0.25">
      <c r="A168" t="s">
        <v>44</v>
      </c>
      <c r="B168" t="s">
        <v>45</v>
      </c>
      <c r="C168" t="s">
        <v>656</v>
      </c>
      <c r="D168" t="s">
        <v>92</v>
      </c>
      <c r="E168">
        <v>0</v>
      </c>
      <c r="F168">
        <v>0</v>
      </c>
      <c r="G168">
        <v>0</v>
      </c>
      <c r="H168">
        <v>0</v>
      </c>
    </row>
    <row r="169" spans="1:8" x14ac:dyDescent="0.25">
      <c r="A169" t="s">
        <v>44</v>
      </c>
      <c r="B169" t="s">
        <v>45</v>
      </c>
      <c r="C169" t="s">
        <v>657</v>
      </c>
      <c r="D169" t="s">
        <v>92</v>
      </c>
      <c r="E169">
        <v>0</v>
      </c>
      <c r="F169">
        <v>0</v>
      </c>
      <c r="G169">
        <v>0</v>
      </c>
      <c r="H169">
        <v>0</v>
      </c>
    </row>
    <row r="170" spans="1:8" x14ac:dyDescent="0.25">
      <c r="A170" t="s">
        <v>44</v>
      </c>
      <c r="B170" t="s">
        <v>45</v>
      </c>
      <c r="C170" t="s">
        <v>658</v>
      </c>
      <c r="D170" t="s">
        <v>92</v>
      </c>
      <c r="E170">
        <v>0</v>
      </c>
      <c r="F170">
        <v>0</v>
      </c>
      <c r="G170">
        <v>0</v>
      </c>
      <c r="H170">
        <v>0</v>
      </c>
    </row>
    <row r="171" spans="1:8" x14ac:dyDescent="0.25">
      <c r="A171" t="s">
        <v>44</v>
      </c>
      <c r="B171" t="s">
        <v>45</v>
      </c>
      <c r="C171" t="s">
        <v>659</v>
      </c>
      <c r="D171" t="s">
        <v>92</v>
      </c>
      <c r="E171">
        <v>0</v>
      </c>
      <c r="F171">
        <v>0</v>
      </c>
      <c r="G171">
        <v>0</v>
      </c>
      <c r="H171">
        <v>0</v>
      </c>
    </row>
    <row r="172" spans="1:8" x14ac:dyDescent="0.25">
      <c r="A172" t="s">
        <v>44</v>
      </c>
      <c r="B172" t="s">
        <v>45</v>
      </c>
      <c r="C172" t="s">
        <v>660</v>
      </c>
      <c r="D172" t="s">
        <v>92</v>
      </c>
      <c r="E172">
        <v>0</v>
      </c>
      <c r="F172">
        <v>0</v>
      </c>
      <c r="G172">
        <v>0</v>
      </c>
      <c r="H172">
        <v>0</v>
      </c>
    </row>
    <row r="173" spans="1:8" x14ac:dyDescent="0.25">
      <c r="A173" t="s">
        <v>44</v>
      </c>
      <c r="B173" t="s">
        <v>45</v>
      </c>
      <c r="C173" t="s">
        <v>661</v>
      </c>
      <c r="D173" t="s">
        <v>92</v>
      </c>
      <c r="E173">
        <v>0</v>
      </c>
      <c r="F173">
        <v>0</v>
      </c>
      <c r="G173">
        <v>0</v>
      </c>
      <c r="H173">
        <v>0</v>
      </c>
    </row>
    <row r="174" spans="1:8" x14ac:dyDescent="0.25">
      <c r="A174" t="s">
        <v>44</v>
      </c>
      <c r="B174" t="s">
        <v>45</v>
      </c>
      <c r="C174" t="s">
        <v>662</v>
      </c>
      <c r="D174" t="s">
        <v>92</v>
      </c>
      <c r="E174">
        <v>0</v>
      </c>
      <c r="F174">
        <v>0</v>
      </c>
      <c r="G174">
        <v>0</v>
      </c>
      <c r="H174">
        <v>0</v>
      </c>
    </row>
    <row r="175" spans="1:8" x14ac:dyDescent="0.25">
      <c r="A175" t="s">
        <v>44</v>
      </c>
      <c r="B175" t="s">
        <v>45</v>
      </c>
      <c r="C175" t="s">
        <v>663</v>
      </c>
      <c r="D175" t="s">
        <v>92</v>
      </c>
      <c r="E175">
        <v>0</v>
      </c>
      <c r="F175">
        <v>0</v>
      </c>
      <c r="G175">
        <v>0</v>
      </c>
      <c r="H175">
        <v>0</v>
      </c>
    </row>
    <row r="176" spans="1:8" x14ac:dyDescent="0.25">
      <c r="A176" t="s">
        <v>44</v>
      </c>
      <c r="B176" t="s">
        <v>45</v>
      </c>
      <c r="C176" t="s">
        <v>664</v>
      </c>
      <c r="D176" t="s">
        <v>92</v>
      </c>
      <c r="E176">
        <v>0</v>
      </c>
      <c r="F176">
        <v>0</v>
      </c>
      <c r="G176">
        <v>0</v>
      </c>
      <c r="H176">
        <v>0</v>
      </c>
    </row>
    <row r="177" spans="1:8" x14ac:dyDescent="0.25">
      <c r="A177" t="s">
        <v>44</v>
      </c>
      <c r="B177" t="s">
        <v>45</v>
      </c>
      <c r="C177" t="s">
        <v>665</v>
      </c>
      <c r="D177" t="s">
        <v>92</v>
      </c>
      <c r="E177">
        <v>0</v>
      </c>
      <c r="F177">
        <v>0</v>
      </c>
      <c r="G177">
        <v>0</v>
      </c>
      <c r="H177">
        <v>0</v>
      </c>
    </row>
    <row r="178" spans="1:8" x14ac:dyDescent="0.25">
      <c r="A178" t="s">
        <v>44</v>
      </c>
      <c r="B178" t="s">
        <v>45</v>
      </c>
      <c r="C178" t="s">
        <v>666</v>
      </c>
      <c r="D178" t="s">
        <v>92</v>
      </c>
      <c r="E178">
        <v>0</v>
      </c>
      <c r="F178">
        <v>0</v>
      </c>
      <c r="G178">
        <v>0</v>
      </c>
      <c r="H178">
        <v>0</v>
      </c>
    </row>
    <row r="179" spans="1:8" x14ac:dyDescent="0.25">
      <c r="A179" t="s">
        <v>44</v>
      </c>
      <c r="B179" t="s">
        <v>45</v>
      </c>
      <c r="C179" t="s">
        <v>667</v>
      </c>
      <c r="D179" t="s">
        <v>92</v>
      </c>
      <c r="E179">
        <v>0</v>
      </c>
      <c r="F179">
        <v>0</v>
      </c>
      <c r="G179">
        <v>0</v>
      </c>
      <c r="H179">
        <v>0</v>
      </c>
    </row>
    <row r="180" spans="1:8" x14ac:dyDescent="0.25">
      <c r="A180" t="s">
        <v>44</v>
      </c>
      <c r="B180" t="s">
        <v>45</v>
      </c>
      <c r="C180" t="s">
        <v>668</v>
      </c>
      <c r="D180" t="s">
        <v>92</v>
      </c>
      <c r="E180">
        <v>0</v>
      </c>
      <c r="F180">
        <v>0</v>
      </c>
      <c r="G180">
        <v>0</v>
      </c>
      <c r="H180">
        <v>0</v>
      </c>
    </row>
    <row r="181" spans="1:8" x14ac:dyDescent="0.25">
      <c r="A181" t="s">
        <v>44</v>
      </c>
      <c r="B181" t="s">
        <v>45</v>
      </c>
      <c r="C181" t="s">
        <v>669</v>
      </c>
      <c r="D181" t="s">
        <v>92</v>
      </c>
      <c r="E181">
        <v>0</v>
      </c>
      <c r="F181">
        <v>0</v>
      </c>
      <c r="G181">
        <v>0</v>
      </c>
      <c r="H181">
        <v>0</v>
      </c>
    </row>
    <row r="182" spans="1:8" x14ac:dyDescent="0.25">
      <c r="A182" t="s">
        <v>44</v>
      </c>
      <c r="B182" t="s">
        <v>45</v>
      </c>
      <c r="C182" t="s">
        <v>670</v>
      </c>
      <c r="D182" t="s">
        <v>92</v>
      </c>
      <c r="E182">
        <v>0</v>
      </c>
      <c r="F182">
        <v>0</v>
      </c>
      <c r="G182">
        <v>0</v>
      </c>
      <c r="H182">
        <v>0</v>
      </c>
    </row>
    <row r="183" spans="1:8" x14ac:dyDescent="0.25">
      <c r="A183" t="s">
        <v>44</v>
      </c>
      <c r="B183" t="s">
        <v>45</v>
      </c>
      <c r="C183" t="s">
        <v>671</v>
      </c>
      <c r="D183" t="s">
        <v>92</v>
      </c>
      <c r="E183">
        <v>0</v>
      </c>
      <c r="F183">
        <v>0</v>
      </c>
      <c r="G183">
        <v>0</v>
      </c>
      <c r="H183">
        <v>0</v>
      </c>
    </row>
    <row r="184" spans="1:8" x14ac:dyDescent="0.25">
      <c r="A184" t="s">
        <v>44</v>
      </c>
      <c r="B184" t="s">
        <v>45</v>
      </c>
      <c r="C184" t="s">
        <v>243</v>
      </c>
      <c r="D184" t="s">
        <v>92</v>
      </c>
      <c r="E184">
        <v>0</v>
      </c>
      <c r="F184">
        <v>0</v>
      </c>
      <c r="G184">
        <v>0</v>
      </c>
      <c r="H184">
        <v>1</v>
      </c>
    </row>
    <row r="185" spans="1:8" x14ac:dyDescent="0.25">
      <c r="A185" t="s">
        <v>44</v>
      </c>
      <c r="B185" t="s">
        <v>45</v>
      </c>
      <c r="C185" t="s">
        <v>672</v>
      </c>
      <c r="D185" t="s">
        <v>92</v>
      </c>
      <c r="E185">
        <v>0</v>
      </c>
      <c r="F185">
        <v>0</v>
      </c>
      <c r="G185">
        <v>0</v>
      </c>
      <c r="H185">
        <v>0</v>
      </c>
    </row>
    <row r="186" spans="1:8" x14ac:dyDescent="0.25">
      <c r="A186" t="s">
        <v>44</v>
      </c>
      <c r="B186" t="s">
        <v>45</v>
      </c>
      <c r="C186" t="s">
        <v>673</v>
      </c>
      <c r="D186" t="s">
        <v>92</v>
      </c>
      <c r="E186">
        <v>0</v>
      </c>
      <c r="F186">
        <v>0</v>
      </c>
      <c r="G186">
        <v>0</v>
      </c>
      <c r="H186">
        <v>0</v>
      </c>
    </row>
    <row r="187" spans="1:8" x14ac:dyDescent="0.25">
      <c r="A187" t="s">
        <v>44</v>
      </c>
      <c r="B187" t="s">
        <v>45</v>
      </c>
      <c r="C187" t="s">
        <v>674</v>
      </c>
      <c r="D187" t="s">
        <v>92</v>
      </c>
      <c r="E187">
        <v>0</v>
      </c>
      <c r="F187">
        <v>0</v>
      </c>
      <c r="G187">
        <v>0</v>
      </c>
      <c r="H187">
        <v>0</v>
      </c>
    </row>
    <row r="188" spans="1:8" x14ac:dyDescent="0.25">
      <c r="A188" t="s">
        <v>44</v>
      </c>
      <c r="B188" t="s">
        <v>45</v>
      </c>
      <c r="C188" t="s">
        <v>675</v>
      </c>
      <c r="D188" t="s">
        <v>92</v>
      </c>
      <c r="E188">
        <v>0</v>
      </c>
      <c r="F188">
        <v>0</v>
      </c>
      <c r="G188">
        <v>0</v>
      </c>
      <c r="H188">
        <v>0</v>
      </c>
    </row>
    <row r="189" spans="1:8" x14ac:dyDescent="0.25">
      <c r="A189" t="s">
        <v>44</v>
      </c>
      <c r="B189" t="s">
        <v>45</v>
      </c>
      <c r="C189" t="s">
        <v>381</v>
      </c>
      <c r="D189" t="s">
        <v>92</v>
      </c>
      <c r="E189">
        <v>0</v>
      </c>
      <c r="F189">
        <v>0</v>
      </c>
      <c r="G189">
        <v>0</v>
      </c>
      <c r="H189">
        <v>1</v>
      </c>
    </row>
    <row r="190" spans="1:8" x14ac:dyDescent="0.25">
      <c r="A190" t="s">
        <v>44</v>
      </c>
      <c r="B190" t="s">
        <v>45</v>
      </c>
      <c r="C190" t="s">
        <v>383</v>
      </c>
      <c r="D190" t="s">
        <v>92</v>
      </c>
      <c r="E190">
        <v>0</v>
      </c>
      <c r="F190">
        <v>0</v>
      </c>
      <c r="G190">
        <v>0</v>
      </c>
      <c r="H190">
        <v>1</v>
      </c>
    </row>
    <row r="191" spans="1:8" x14ac:dyDescent="0.25">
      <c r="A191" t="s">
        <v>44</v>
      </c>
      <c r="B191" t="s">
        <v>45</v>
      </c>
      <c r="C191" t="s">
        <v>506</v>
      </c>
      <c r="D191" t="s">
        <v>92</v>
      </c>
      <c r="E191">
        <v>0</v>
      </c>
      <c r="F191">
        <v>0</v>
      </c>
      <c r="G191">
        <v>0</v>
      </c>
      <c r="H191">
        <v>1</v>
      </c>
    </row>
    <row r="192" spans="1:8" x14ac:dyDescent="0.25">
      <c r="A192" t="s">
        <v>44</v>
      </c>
      <c r="B192" t="s">
        <v>45</v>
      </c>
      <c r="C192" t="s">
        <v>676</v>
      </c>
      <c r="D192" t="s">
        <v>92</v>
      </c>
      <c r="E192">
        <v>0</v>
      </c>
      <c r="F192">
        <v>0</v>
      </c>
      <c r="G192">
        <v>0</v>
      </c>
      <c r="H192">
        <v>0</v>
      </c>
    </row>
    <row r="193" spans="1:8" x14ac:dyDescent="0.25">
      <c r="A193" t="s">
        <v>44</v>
      </c>
      <c r="B193" t="s">
        <v>45</v>
      </c>
      <c r="C193" t="s">
        <v>677</v>
      </c>
      <c r="D193" t="s">
        <v>92</v>
      </c>
      <c r="E193">
        <v>0</v>
      </c>
      <c r="F193">
        <v>0</v>
      </c>
      <c r="G193">
        <v>0</v>
      </c>
      <c r="H193">
        <v>0</v>
      </c>
    </row>
    <row r="194" spans="1:8" x14ac:dyDescent="0.25">
      <c r="A194" t="s">
        <v>44</v>
      </c>
      <c r="B194" t="s">
        <v>45</v>
      </c>
      <c r="C194" t="s">
        <v>511</v>
      </c>
      <c r="D194" t="s">
        <v>92</v>
      </c>
      <c r="E194">
        <v>0</v>
      </c>
      <c r="F194">
        <v>0</v>
      </c>
      <c r="G194">
        <v>0</v>
      </c>
      <c r="H194">
        <v>1</v>
      </c>
    </row>
    <row r="195" spans="1:8" x14ac:dyDescent="0.25">
      <c r="A195" t="s">
        <v>44</v>
      </c>
      <c r="B195" t="s">
        <v>45</v>
      </c>
      <c r="C195" t="s">
        <v>516</v>
      </c>
      <c r="D195" t="s">
        <v>92</v>
      </c>
      <c r="E195">
        <v>0</v>
      </c>
      <c r="F195">
        <v>0</v>
      </c>
      <c r="G195">
        <v>0</v>
      </c>
      <c r="H195">
        <v>1</v>
      </c>
    </row>
    <row r="196" spans="1:8" x14ac:dyDescent="0.25">
      <c r="A196" t="s">
        <v>44</v>
      </c>
      <c r="B196" t="s">
        <v>45</v>
      </c>
      <c r="C196" t="s">
        <v>678</v>
      </c>
      <c r="D196" t="s">
        <v>92</v>
      </c>
      <c r="E196">
        <v>0</v>
      </c>
      <c r="F196">
        <v>0</v>
      </c>
      <c r="G196">
        <v>0</v>
      </c>
      <c r="H196">
        <v>0</v>
      </c>
    </row>
    <row r="197" spans="1:8" x14ac:dyDescent="0.25">
      <c r="A197" t="s">
        <v>44</v>
      </c>
      <c r="B197" t="s">
        <v>45</v>
      </c>
      <c r="C197" t="s">
        <v>679</v>
      </c>
      <c r="D197" t="s">
        <v>92</v>
      </c>
      <c r="E197">
        <v>0</v>
      </c>
      <c r="F197">
        <v>0</v>
      </c>
      <c r="G197">
        <v>0</v>
      </c>
      <c r="H197">
        <v>0</v>
      </c>
    </row>
    <row r="198" spans="1:8" x14ac:dyDescent="0.25">
      <c r="A198" t="s">
        <v>44</v>
      </c>
      <c r="B198" t="s">
        <v>45</v>
      </c>
      <c r="C198" t="s">
        <v>680</v>
      </c>
      <c r="D198" t="s">
        <v>92</v>
      </c>
      <c r="E198">
        <v>0</v>
      </c>
      <c r="F198">
        <v>0</v>
      </c>
      <c r="G198">
        <v>0</v>
      </c>
      <c r="H198">
        <v>0</v>
      </c>
    </row>
    <row r="199" spans="1:8" x14ac:dyDescent="0.25">
      <c r="A199" t="s">
        <v>44</v>
      </c>
      <c r="B199" t="s">
        <v>45</v>
      </c>
      <c r="C199" t="s">
        <v>681</v>
      </c>
      <c r="D199" t="s">
        <v>92</v>
      </c>
      <c r="E199">
        <v>0</v>
      </c>
      <c r="F199">
        <v>0</v>
      </c>
      <c r="G199">
        <v>0</v>
      </c>
      <c r="H199">
        <v>0</v>
      </c>
    </row>
    <row r="200" spans="1:8" x14ac:dyDescent="0.25">
      <c r="A200" t="s">
        <v>44</v>
      </c>
      <c r="B200" t="s">
        <v>45</v>
      </c>
      <c r="C200" t="s">
        <v>682</v>
      </c>
      <c r="D200" t="s">
        <v>92</v>
      </c>
      <c r="E200">
        <v>0</v>
      </c>
      <c r="F200">
        <v>0</v>
      </c>
      <c r="G200">
        <v>0</v>
      </c>
      <c r="H200">
        <v>0</v>
      </c>
    </row>
    <row r="201" spans="1:8" x14ac:dyDescent="0.25">
      <c r="A201" t="s">
        <v>44</v>
      </c>
      <c r="B201" t="s">
        <v>45</v>
      </c>
      <c r="C201" t="s">
        <v>683</v>
      </c>
      <c r="D201" t="s">
        <v>92</v>
      </c>
      <c r="E201">
        <v>0</v>
      </c>
      <c r="F201">
        <v>0</v>
      </c>
      <c r="G201">
        <v>0</v>
      </c>
      <c r="H201">
        <v>0</v>
      </c>
    </row>
    <row r="202" spans="1:8" x14ac:dyDescent="0.25">
      <c r="A202" t="s">
        <v>44</v>
      </c>
      <c r="B202" t="s">
        <v>45</v>
      </c>
      <c r="C202" t="s">
        <v>684</v>
      </c>
      <c r="D202" t="s">
        <v>92</v>
      </c>
      <c r="E202">
        <v>0</v>
      </c>
      <c r="F202">
        <v>0</v>
      </c>
      <c r="G202">
        <v>0</v>
      </c>
      <c r="H202">
        <v>0</v>
      </c>
    </row>
    <row r="203" spans="1:8" x14ac:dyDescent="0.25">
      <c r="A203" t="s">
        <v>44</v>
      </c>
      <c r="B203" t="s">
        <v>45</v>
      </c>
      <c r="C203" t="s">
        <v>685</v>
      </c>
      <c r="D203" t="s">
        <v>92</v>
      </c>
      <c r="E203">
        <v>0</v>
      </c>
      <c r="F203">
        <v>0</v>
      </c>
      <c r="G203">
        <v>0</v>
      </c>
      <c r="H203">
        <v>0</v>
      </c>
    </row>
    <row r="204" spans="1:8" x14ac:dyDescent="0.25">
      <c r="A204" t="s">
        <v>44</v>
      </c>
      <c r="B204" t="s">
        <v>45</v>
      </c>
      <c r="C204" t="s">
        <v>686</v>
      </c>
      <c r="D204" t="s">
        <v>92</v>
      </c>
      <c r="E204">
        <v>0</v>
      </c>
      <c r="F204">
        <v>0</v>
      </c>
      <c r="G204">
        <v>0</v>
      </c>
      <c r="H204">
        <v>0</v>
      </c>
    </row>
    <row r="205" spans="1:8" x14ac:dyDescent="0.25">
      <c r="A205" t="s">
        <v>44</v>
      </c>
      <c r="B205" t="s">
        <v>45</v>
      </c>
      <c r="C205" t="s">
        <v>687</v>
      </c>
      <c r="D205" t="s">
        <v>92</v>
      </c>
      <c r="E205">
        <v>0</v>
      </c>
      <c r="F205">
        <v>0</v>
      </c>
      <c r="G205">
        <v>0</v>
      </c>
      <c r="H205">
        <v>0</v>
      </c>
    </row>
    <row r="206" spans="1:8" x14ac:dyDescent="0.25">
      <c r="A206" t="s">
        <v>44</v>
      </c>
      <c r="B206" t="s">
        <v>45</v>
      </c>
      <c r="C206" t="s">
        <v>688</v>
      </c>
      <c r="D206" t="s">
        <v>92</v>
      </c>
      <c r="E206">
        <v>0</v>
      </c>
      <c r="F206">
        <v>0</v>
      </c>
      <c r="G206">
        <v>0</v>
      </c>
      <c r="H206">
        <v>0</v>
      </c>
    </row>
    <row r="207" spans="1:8" x14ac:dyDescent="0.25">
      <c r="A207" t="s">
        <v>44</v>
      </c>
      <c r="B207" t="s">
        <v>45</v>
      </c>
      <c r="C207" t="s">
        <v>689</v>
      </c>
      <c r="D207" t="s">
        <v>92</v>
      </c>
      <c r="E207">
        <v>0</v>
      </c>
      <c r="F207">
        <v>0</v>
      </c>
      <c r="G207">
        <v>0</v>
      </c>
      <c r="H207">
        <v>0</v>
      </c>
    </row>
    <row r="208" spans="1:8" x14ac:dyDescent="0.25">
      <c r="A208" t="s">
        <v>44</v>
      </c>
      <c r="B208" t="s">
        <v>45</v>
      </c>
      <c r="C208" t="s">
        <v>690</v>
      </c>
      <c r="D208" t="s">
        <v>92</v>
      </c>
      <c r="E208">
        <v>0</v>
      </c>
      <c r="F208">
        <v>0</v>
      </c>
      <c r="G208">
        <v>0</v>
      </c>
      <c r="H208">
        <v>0</v>
      </c>
    </row>
    <row r="209" spans="1:8" x14ac:dyDescent="0.25">
      <c r="A209" t="s">
        <v>44</v>
      </c>
      <c r="B209" t="s">
        <v>45</v>
      </c>
      <c r="C209" t="s">
        <v>691</v>
      </c>
      <c r="D209" t="s">
        <v>92</v>
      </c>
      <c r="E209">
        <v>0</v>
      </c>
      <c r="F209">
        <v>0</v>
      </c>
      <c r="G209">
        <v>0</v>
      </c>
      <c r="H209">
        <v>0</v>
      </c>
    </row>
    <row r="210" spans="1:8" x14ac:dyDescent="0.25">
      <c r="A210" t="s">
        <v>44</v>
      </c>
      <c r="B210" t="s">
        <v>45</v>
      </c>
      <c r="C210" t="s">
        <v>692</v>
      </c>
      <c r="D210" t="s">
        <v>92</v>
      </c>
      <c r="E210">
        <v>0</v>
      </c>
      <c r="F210">
        <v>0</v>
      </c>
      <c r="G210">
        <v>0</v>
      </c>
      <c r="H210">
        <v>0</v>
      </c>
    </row>
    <row r="211" spans="1:8" x14ac:dyDescent="0.25">
      <c r="A211" t="s">
        <v>44</v>
      </c>
      <c r="B211" t="s">
        <v>45</v>
      </c>
      <c r="C211" t="s">
        <v>693</v>
      </c>
      <c r="D211" t="s">
        <v>92</v>
      </c>
      <c r="E211">
        <v>0</v>
      </c>
      <c r="F211">
        <v>0</v>
      </c>
      <c r="G211">
        <v>0</v>
      </c>
      <c r="H211">
        <v>0</v>
      </c>
    </row>
    <row r="212" spans="1:8" x14ac:dyDescent="0.25">
      <c r="A212" t="s">
        <v>44</v>
      </c>
      <c r="B212" t="s">
        <v>45</v>
      </c>
      <c r="C212" t="s">
        <v>694</v>
      </c>
      <c r="D212" t="s">
        <v>92</v>
      </c>
      <c r="E212">
        <v>0</v>
      </c>
      <c r="F212">
        <v>0</v>
      </c>
      <c r="G212">
        <v>0</v>
      </c>
      <c r="H212">
        <v>0</v>
      </c>
    </row>
    <row r="213" spans="1:8" x14ac:dyDescent="0.25">
      <c r="A213" t="s">
        <v>44</v>
      </c>
      <c r="B213" t="s">
        <v>45</v>
      </c>
      <c r="C213" t="s">
        <v>695</v>
      </c>
      <c r="D213" t="s">
        <v>92</v>
      </c>
      <c r="E213">
        <v>0</v>
      </c>
      <c r="F213">
        <v>0</v>
      </c>
      <c r="G213">
        <v>0</v>
      </c>
      <c r="H213">
        <v>0</v>
      </c>
    </row>
    <row r="214" spans="1:8" x14ac:dyDescent="0.25">
      <c r="A214" t="s">
        <v>44</v>
      </c>
      <c r="B214" t="s">
        <v>45</v>
      </c>
      <c r="C214" t="s">
        <v>696</v>
      </c>
      <c r="D214" t="s">
        <v>92</v>
      </c>
      <c r="E214">
        <v>0</v>
      </c>
      <c r="F214">
        <v>0</v>
      </c>
      <c r="G214">
        <v>0</v>
      </c>
      <c r="H214">
        <v>0</v>
      </c>
    </row>
    <row r="215" spans="1:8" x14ac:dyDescent="0.25">
      <c r="A215" t="s">
        <v>44</v>
      </c>
      <c r="B215" t="s">
        <v>45</v>
      </c>
      <c r="C215" t="s">
        <v>697</v>
      </c>
      <c r="D215" t="s">
        <v>92</v>
      </c>
      <c r="E215">
        <v>0</v>
      </c>
      <c r="F215">
        <v>0</v>
      </c>
      <c r="G215">
        <v>0</v>
      </c>
      <c r="H215">
        <v>0</v>
      </c>
    </row>
    <row r="216" spans="1:8" x14ac:dyDescent="0.25">
      <c r="A216" t="s">
        <v>44</v>
      </c>
      <c r="B216" t="s">
        <v>45</v>
      </c>
      <c r="C216" t="s">
        <v>698</v>
      </c>
      <c r="D216" t="s">
        <v>92</v>
      </c>
      <c r="E216">
        <v>0</v>
      </c>
      <c r="F216">
        <v>0</v>
      </c>
      <c r="G216">
        <v>0</v>
      </c>
      <c r="H216">
        <v>0</v>
      </c>
    </row>
    <row r="217" spans="1:8" x14ac:dyDescent="0.25">
      <c r="A217" t="s">
        <v>44</v>
      </c>
      <c r="B217" t="s">
        <v>45</v>
      </c>
      <c r="C217" t="s">
        <v>699</v>
      </c>
      <c r="D217" t="s">
        <v>92</v>
      </c>
      <c r="E217">
        <v>0</v>
      </c>
      <c r="F217">
        <v>0</v>
      </c>
      <c r="G217">
        <v>0</v>
      </c>
      <c r="H217">
        <v>0</v>
      </c>
    </row>
    <row r="218" spans="1:8" x14ac:dyDescent="0.25">
      <c r="A218" t="s">
        <v>44</v>
      </c>
      <c r="B218" t="s">
        <v>45</v>
      </c>
      <c r="C218" t="s">
        <v>700</v>
      </c>
      <c r="D218" t="s">
        <v>92</v>
      </c>
      <c r="E218">
        <v>0</v>
      </c>
      <c r="F218">
        <v>0</v>
      </c>
      <c r="G218">
        <v>0</v>
      </c>
      <c r="H218">
        <v>0</v>
      </c>
    </row>
    <row r="219" spans="1:8" x14ac:dyDescent="0.25">
      <c r="A219" t="s">
        <v>44</v>
      </c>
      <c r="B219" t="s">
        <v>45</v>
      </c>
      <c r="C219" t="s">
        <v>701</v>
      </c>
      <c r="D219" t="s">
        <v>92</v>
      </c>
      <c r="E219">
        <v>0</v>
      </c>
      <c r="F219">
        <v>0</v>
      </c>
      <c r="G219">
        <v>0</v>
      </c>
      <c r="H219">
        <v>0</v>
      </c>
    </row>
    <row r="220" spans="1:8" x14ac:dyDescent="0.25">
      <c r="A220" t="s">
        <v>44</v>
      </c>
      <c r="B220" t="s">
        <v>45</v>
      </c>
      <c r="C220" t="s">
        <v>702</v>
      </c>
      <c r="D220" t="s">
        <v>92</v>
      </c>
      <c r="E220">
        <v>0</v>
      </c>
      <c r="F220">
        <v>0</v>
      </c>
      <c r="G220">
        <v>0</v>
      </c>
      <c r="H220">
        <v>0</v>
      </c>
    </row>
    <row r="221" spans="1:8" x14ac:dyDescent="0.25">
      <c r="A221" t="s">
        <v>44</v>
      </c>
      <c r="B221" t="s">
        <v>45</v>
      </c>
      <c r="C221" t="s">
        <v>703</v>
      </c>
      <c r="D221" t="s">
        <v>92</v>
      </c>
      <c r="E221">
        <v>0</v>
      </c>
      <c r="F221">
        <v>0</v>
      </c>
      <c r="G221">
        <v>0</v>
      </c>
      <c r="H221">
        <v>0</v>
      </c>
    </row>
    <row r="222" spans="1:8" x14ac:dyDescent="0.25">
      <c r="A222" t="s">
        <v>44</v>
      </c>
      <c r="B222" t="s">
        <v>45</v>
      </c>
      <c r="C222" t="s">
        <v>704</v>
      </c>
      <c r="D222" t="s">
        <v>92</v>
      </c>
      <c r="E222">
        <v>0</v>
      </c>
      <c r="F222">
        <v>0</v>
      </c>
      <c r="G222">
        <v>0</v>
      </c>
      <c r="H222">
        <v>0</v>
      </c>
    </row>
    <row r="223" spans="1:8" x14ac:dyDescent="0.25">
      <c r="A223" t="s">
        <v>44</v>
      </c>
      <c r="B223" t="s">
        <v>45</v>
      </c>
      <c r="C223" t="s">
        <v>705</v>
      </c>
      <c r="D223" t="s">
        <v>92</v>
      </c>
      <c r="E223">
        <v>0</v>
      </c>
      <c r="F223">
        <v>0</v>
      </c>
      <c r="G223">
        <v>0</v>
      </c>
      <c r="H223">
        <v>0</v>
      </c>
    </row>
    <row r="224" spans="1:8" x14ac:dyDescent="0.25">
      <c r="A224" t="s">
        <v>44</v>
      </c>
      <c r="B224" t="s">
        <v>45</v>
      </c>
      <c r="C224" t="s">
        <v>706</v>
      </c>
      <c r="D224" t="s">
        <v>92</v>
      </c>
      <c r="E224">
        <v>0</v>
      </c>
      <c r="F224">
        <v>0</v>
      </c>
      <c r="G224">
        <v>0</v>
      </c>
      <c r="H224">
        <v>0</v>
      </c>
    </row>
    <row r="225" spans="1:8" x14ac:dyDescent="0.25">
      <c r="A225" t="s">
        <v>44</v>
      </c>
      <c r="B225" t="s">
        <v>45</v>
      </c>
      <c r="C225" t="s">
        <v>707</v>
      </c>
      <c r="D225" t="s">
        <v>92</v>
      </c>
      <c r="E225">
        <v>0</v>
      </c>
      <c r="F225">
        <v>0</v>
      </c>
      <c r="G225">
        <v>0</v>
      </c>
      <c r="H225">
        <v>0</v>
      </c>
    </row>
    <row r="226" spans="1:8" x14ac:dyDescent="0.25">
      <c r="A226" t="s">
        <v>44</v>
      </c>
      <c r="B226" t="s">
        <v>45</v>
      </c>
      <c r="C226" t="s">
        <v>708</v>
      </c>
      <c r="D226" t="s">
        <v>92</v>
      </c>
      <c r="E226">
        <v>0</v>
      </c>
      <c r="F226">
        <v>0</v>
      </c>
      <c r="G226">
        <v>0</v>
      </c>
      <c r="H226">
        <v>0</v>
      </c>
    </row>
    <row r="227" spans="1:8" x14ac:dyDescent="0.25">
      <c r="A227" t="s">
        <v>44</v>
      </c>
      <c r="B227" t="s">
        <v>45</v>
      </c>
      <c r="C227" t="s">
        <v>709</v>
      </c>
      <c r="D227" t="s">
        <v>92</v>
      </c>
      <c r="E227">
        <v>0</v>
      </c>
      <c r="F227">
        <v>0</v>
      </c>
      <c r="G227">
        <v>0</v>
      </c>
      <c r="H227">
        <v>0</v>
      </c>
    </row>
    <row r="228" spans="1:8" x14ac:dyDescent="0.25">
      <c r="A228" t="s">
        <v>44</v>
      </c>
      <c r="B228" t="s">
        <v>45</v>
      </c>
      <c r="C228" t="s">
        <v>710</v>
      </c>
      <c r="D228" t="s">
        <v>92</v>
      </c>
      <c r="E228">
        <v>0</v>
      </c>
      <c r="F228">
        <v>0</v>
      </c>
      <c r="G228">
        <v>0</v>
      </c>
      <c r="H228">
        <v>0</v>
      </c>
    </row>
    <row r="229" spans="1:8" x14ac:dyDescent="0.25">
      <c r="A229" t="s">
        <v>44</v>
      </c>
      <c r="B229" t="s">
        <v>45</v>
      </c>
      <c r="C229" t="s">
        <v>711</v>
      </c>
      <c r="D229" t="s">
        <v>92</v>
      </c>
      <c r="E229">
        <v>0</v>
      </c>
      <c r="F229">
        <v>0</v>
      </c>
      <c r="G229">
        <v>0</v>
      </c>
      <c r="H229">
        <v>0</v>
      </c>
    </row>
    <row r="230" spans="1:8" x14ac:dyDescent="0.25">
      <c r="A230" t="s">
        <v>44</v>
      </c>
      <c r="B230" t="s">
        <v>45</v>
      </c>
      <c r="C230" t="s">
        <v>712</v>
      </c>
      <c r="D230" t="s">
        <v>92</v>
      </c>
      <c r="E230">
        <v>0</v>
      </c>
      <c r="F230">
        <v>0</v>
      </c>
      <c r="G230">
        <v>0</v>
      </c>
      <c r="H230">
        <v>0</v>
      </c>
    </row>
    <row r="231" spans="1:8" x14ac:dyDescent="0.25">
      <c r="A231" t="s">
        <v>44</v>
      </c>
      <c r="B231" t="s">
        <v>45</v>
      </c>
      <c r="C231" t="s">
        <v>713</v>
      </c>
      <c r="D231" t="s">
        <v>92</v>
      </c>
      <c r="E231">
        <v>0</v>
      </c>
      <c r="F231">
        <v>0</v>
      </c>
      <c r="G231">
        <v>0</v>
      </c>
      <c r="H231">
        <v>0</v>
      </c>
    </row>
    <row r="232" spans="1:8" x14ac:dyDescent="0.25">
      <c r="A232" t="s">
        <v>44</v>
      </c>
      <c r="B232" t="s">
        <v>45</v>
      </c>
      <c r="C232" t="s">
        <v>714</v>
      </c>
      <c r="D232" t="s">
        <v>92</v>
      </c>
      <c r="E232">
        <v>0</v>
      </c>
      <c r="F232">
        <v>0</v>
      </c>
      <c r="G232">
        <v>0</v>
      </c>
      <c r="H232">
        <v>0</v>
      </c>
    </row>
    <row r="233" spans="1:8" x14ac:dyDescent="0.25">
      <c r="A233" t="s">
        <v>44</v>
      </c>
      <c r="B233" t="s">
        <v>45</v>
      </c>
      <c r="C233" t="s">
        <v>715</v>
      </c>
      <c r="D233" t="s">
        <v>92</v>
      </c>
      <c r="E233">
        <v>0</v>
      </c>
      <c r="F233">
        <v>0</v>
      </c>
      <c r="G233">
        <v>0</v>
      </c>
      <c r="H233">
        <v>0</v>
      </c>
    </row>
    <row r="234" spans="1:8" x14ac:dyDescent="0.25">
      <c r="A234" t="s">
        <v>44</v>
      </c>
      <c r="B234" t="s">
        <v>45</v>
      </c>
      <c r="C234" t="s">
        <v>716</v>
      </c>
      <c r="D234" t="s">
        <v>92</v>
      </c>
      <c r="E234">
        <v>0</v>
      </c>
      <c r="F234">
        <v>0</v>
      </c>
      <c r="G234">
        <v>0</v>
      </c>
      <c r="H234">
        <v>0</v>
      </c>
    </row>
    <row r="235" spans="1:8" x14ac:dyDescent="0.25">
      <c r="A235" t="s">
        <v>44</v>
      </c>
      <c r="B235" t="s">
        <v>45</v>
      </c>
      <c r="C235" t="s">
        <v>111</v>
      </c>
      <c r="D235" t="s">
        <v>92</v>
      </c>
      <c r="E235">
        <v>0</v>
      </c>
      <c r="F235">
        <v>0</v>
      </c>
      <c r="G235">
        <v>0</v>
      </c>
      <c r="H235">
        <v>1</v>
      </c>
    </row>
    <row r="236" spans="1:8" x14ac:dyDescent="0.25">
      <c r="A236" t="s">
        <v>44</v>
      </c>
      <c r="B236" t="s">
        <v>45</v>
      </c>
      <c r="C236" t="s">
        <v>385</v>
      </c>
      <c r="D236" t="s">
        <v>92</v>
      </c>
      <c r="E236">
        <v>0</v>
      </c>
      <c r="F236">
        <v>0</v>
      </c>
      <c r="G236">
        <v>0</v>
      </c>
      <c r="H236">
        <v>1</v>
      </c>
    </row>
    <row r="237" spans="1:8" x14ac:dyDescent="0.25">
      <c r="A237" t="s">
        <v>44</v>
      </c>
      <c r="B237" t="s">
        <v>45</v>
      </c>
      <c r="C237" t="s">
        <v>518</v>
      </c>
      <c r="D237" t="s">
        <v>92</v>
      </c>
      <c r="E237">
        <v>0</v>
      </c>
      <c r="F237">
        <v>0</v>
      </c>
      <c r="G237">
        <v>0</v>
      </c>
      <c r="H237">
        <v>1</v>
      </c>
    </row>
    <row r="238" spans="1:8" x14ac:dyDescent="0.25">
      <c r="A238" t="s">
        <v>44</v>
      </c>
      <c r="B238" t="s">
        <v>45</v>
      </c>
      <c r="C238" t="s">
        <v>717</v>
      </c>
      <c r="D238" t="s">
        <v>92</v>
      </c>
      <c r="E238">
        <v>0</v>
      </c>
      <c r="F238">
        <v>0</v>
      </c>
      <c r="G238">
        <v>0</v>
      </c>
      <c r="H238">
        <v>0</v>
      </c>
    </row>
    <row r="239" spans="1:8" x14ac:dyDescent="0.25">
      <c r="A239" t="s">
        <v>44</v>
      </c>
      <c r="B239" t="s">
        <v>45</v>
      </c>
      <c r="C239" t="s">
        <v>718</v>
      </c>
      <c r="D239" t="s">
        <v>92</v>
      </c>
      <c r="E239">
        <v>0</v>
      </c>
      <c r="F239">
        <v>0</v>
      </c>
      <c r="G239">
        <v>0</v>
      </c>
      <c r="H239">
        <v>0</v>
      </c>
    </row>
    <row r="240" spans="1:8" x14ac:dyDescent="0.25">
      <c r="A240" t="s">
        <v>44</v>
      </c>
      <c r="B240" t="s">
        <v>45</v>
      </c>
      <c r="C240" t="s">
        <v>719</v>
      </c>
      <c r="D240" t="s">
        <v>92</v>
      </c>
      <c r="E240">
        <v>0</v>
      </c>
      <c r="F240">
        <v>0</v>
      </c>
      <c r="G240">
        <v>0</v>
      </c>
      <c r="H240">
        <v>0</v>
      </c>
    </row>
    <row r="241" spans="1:8" x14ac:dyDescent="0.25">
      <c r="A241" t="s">
        <v>44</v>
      </c>
      <c r="B241" t="s">
        <v>45</v>
      </c>
      <c r="C241" t="s">
        <v>720</v>
      </c>
      <c r="D241" t="s">
        <v>92</v>
      </c>
      <c r="E241">
        <v>0</v>
      </c>
      <c r="F241">
        <v>0</v>
      </c>
      <c r="G241">
        <v>0</v>
      </c>
      <c r="H241">
        <v>0</v>
      </c>
    </row>
    <row r="242" spans="1:8" x14ac:dyDescent="0.25">
      <c r="A242" t="s">
        <v>44</v>
      </c>
      <c r="B242" t="s">
        <v>45</v>
      </c>
      <c r="C242" t="s">
        <v>721</v>
      </c>
      <c r="D242" t="s">
        <v>92</v>
      </c>
      <c r="E242">
        <v>0</v>
      </c>
      <c r="F242">
        <v>0</v>
      </c>
      <c r="G242">
        <v>0</v>
      </c>
      <c r="H242">
        <v>0</v>
      </c>
    </row>
    <row r="243" spans="1:8" x14ac:dyDescent="0.25">
      <c r="A243" t="s">
        <v>44</v>
      </c>
      <c r="B243" t="s">
        <v>45</v>
      </c>
      <c r="C243" t="s">
        <v>722</v>
      </c>
      <c r="D243" t="s">
        <v>92</v>
      </c>
      <c r="E243">
        <v>0</v>
      </c>
      <c r="F243">
        <v>0</v>
      </c>
      <c r="G243">
        <v>0</v>
      </c>
      <c r="H243">
        <v>0</v>
      </c>
    </row>
    <row r="244" spans="1:8" x14ac:dyDescent="0.25">
      <c r="A244" t="s">
        <v>44</v>
      </c>
      <c r="B244" t="s">
        <v>45</v>
      </c>
      <c r="C244" t="s">
        <v>604</v>
      </c>
      <c r="D244" t="s">
        <v>92</v>
      </c>
      <c r="E244">
        <v>0</v>
      </c>
      <c r="F244">
        <v>0</v>
      </c>
      <c r="G244">
        <v>0</v>
      </c>
      <c r="H244">
        <v>1</v>
      </c>
    </row>
    <row r="245" spans="1:8" x14ac:dyDescent="0.25">
      <c r="A245" t="s">
        <v>44</v>
      </c>
      <c r="B245" t="s">
        <v>45</v>
      </c>
      <c r="C245" t="s">
        <v>723</v>
      </c>
      <c r="D245" t="s">
        <v>92</v>
      </c>
      <c r="E245">
        <v>0</v>
      </c>
      <c r="F245">
        <v>0</v>
      </c>
      <c r="G245">
        <v>0</v>
      </c>
      <c r="H245">
        <v>0</v>
      </c>
    </row>
    <row r="246" spans="1:8" x14ac:dyDescent="0.25">
      <c r="A246" t="s">
        <v>44</v>
      </c>
      <c r="B246" t="s">
        <v>45</v>
      </c>
      <c r="C246" t="s">
        <v>724</v>
      </c>
      <c r="D246" t="s">
        <v>92</v>
      </c>
      <c r="E246">
        <v>0</v>
      </c>
      <c r="F246">
        <v>0</v>
      </c>
      <c r="G246">
        <v>0</v>
      </c>
      <c r="H246">
        <v>0</v>
      </c>
    </row>
    <row r="247" spans="1:8" x14ac:dyDescent="0.25">
      <c r="A247" t="s">
        <v>44</v>
      </c>
      <c r="B247" t="s">
        <v>45</v>
      </c>
      <c r="C247" t="s">
        <v>725</v>
      </c>
      <c r="D247" t="s">
        <v>92</v>
      </c>
      <c r="E247">
        <v>0</v>
      </c>
      <c r="F247">
        <v>0</v>
      </c>
      <c r="G247">
        <v>0</v>
      </c>
      <c r="H247">
        <v>0</v>
      </c>
    </row>
    <row r="248" spans="1:8" x14ac:dyDescent="0.25">
      <c r="A248" t="s">
        <v>44</v>
      </c>
      <c r="B248" t="s">
        <v>45</v>
      </c>
      <c r="C248" t="s">
        <v>726</v>
      </c>
      <c r="D248" t="s">
        <v>92</v>
      </c>
      <c r="E248">
        <v>0</v>
      </c>
      <c r="F248">
        <v>0</v>
      </c>
      <c r="G248">
        <v>0</v>
      </c>
      <c r="H248">
        <v>0</v>
      </c>
    </row>
    <row r="249" spans="1:8" x14ac:dyDescent="0.25">
      <c r="A249" t="s">
        <v>44</v>
      </c>
      <c r="B249" t="s">
        <v>45</v>
      </c>
      <c r="C249" t="s">
        <v>727</v>
      </c>
      <c r="D249" t="s">
        <v>92</v>
      </c>
      <c r="E249">
        <v>0</v>
      </c>
      <c r="F249">
        <v>0</v>
      </c>
      <c r="G249">
        <v>0</v>
      </c>
      <c r="H249">
        <v>0</v>
      </c>
    </row>
    <row r="250" spans="1:8" x14ac:dyDescent="0.25">
      <c r="A250" t="s">
        <v>44</v>
      </c>
      <c r="B250" t="s">
        <v>45</v>
      </c>
      <c r="C250" t="s">
        <v>728</v>
      </c>
      <c r="D250" t="s">
        <v>92</v>
      </c>
      <c r="E250">
        <v>0</v>
      </c>
      <c r="F250">
        <v>0</v>
      </c>
      <c r="G250">
        <v>0</v>
      </c>
      <c r="H250">
        <v>0</v>
      </c>
    </row>
    <row r="251" spans="1:8" x14ac:dyDescent="0.25">
      <c r="A251" t="s">
        <v>44</v>
      </c>
      <c r="B251" t="s">
        <v>45</v>
      </c>
      <c r="C251" t="s">
        <v>135</v>
      </c>
      <c r="D251" t="s">
        <v>92</v>
      </c>
      <c r="E251">
        <v>0</v>
      </c>
      <c r="F251">
        <v>0</v>
      </c>
      <c r="G251">
        <v>0</v>
      </c>
      <c r="H251">
        <v>1</v>
      </c>
    </row>
    <row r="252" spans="1:8" x14ac:dyDescent="0.25">
      <c r="A252" t="s">
        <v>44</v>
      </c>
      <c r="B252" t="s">
        <v>45</v>
      </c>
      <c r="C252" t="s">
        <v>132</v>
      </c>
      <c r="D252" t="s">
        <v>92</v>
      </c>
      <c r="E252">
        <v>0</v>
      </c>
      <c r="F252">
        <v>0</v>
      </c>
      <c r="G252">
        <v>0</v>
      </c>
      <c r="H252">
        <v>0</v>
      </c>
    </row>
    <row r="253" spans="1:8" x14ac:dyDescent="0.25">
      <c r="A253" t="s">
        <v>44</v>
      </c>
      <c r="B253" t="s">
        <v>45</v>
      </c>
      <c r="C253" t="s">
        <v>729</v>
      </c>
      <c r="D253" t="s">
        <v>92</v>
      </c>
      <c r="E253">
        <v>0</v>
      </c>
      <c r="F253">
        <v>0</v>
      </c>
      <c r="G253">
        <v>0</v>
      </c>
      <c r="H253">
        <v>0</v>
      </c>
    </row>
    <row r="254" spans="1:8" x14ac:dyDescent="0.25">
      <c r="A254" t="s">
        <v>44</v>
      </c>
      <c r="B254" t="s">
        <v>45</v>
      </c>
      <c r="C254" t="s">
        <v>730</v>
      </c>
      <c r="D254" t="s">
        <v>92</v>
      </c>
      <c r="E254">
        <v>0</v>
      </c>
      <c r="F254">
        <v>0</v>
      </c>
      <c r="G254">
        <v>0</v>
      </c>
      <c r="H254">
        <v>0</v>
      </c>
    </row>
    <row r="255" spans="1:8" x14ac:dyDescent="0.25">
      <c r="A255" t="s">
        <v>44</v>
      </c>
      <c r="B255" t="s">
        <v>45</v>
      </c>
      <c r="C255" t="s">
        <v>731</v>
      </c>
      <c r="D255" t="s">
        <v>92</v>
      </c>
      <c r="E255">
        <v>0</v>
      </c>
      <c r="F255">
        <v>0</v>
      </c>
      <c r="G255">
        <v>0</v>
      </c>
      <c r="H255">
        <v>0</v>
      </c>
    </row>
    <row r="256" spans="1:8" x14ac:dyDescent="0.25">
      <c r="A256" t="s">
        <v>44</v>
      </c>
      <c r="B256" t="s">
        <v>45</v>
      </c>
      <c r="C256" t="s">
        <v>140</v>
      </c>
      <c r="D256" t="s">
        <v>92</v>
      </c>
      <c r="E256">
        <v>0</v>
      </c>
      <c r="F256">
        <v>0</v>
      </c>
      <c r="G256">
        <v>0</v>
      </c>
      <c r="H256">
        <v>1</v>
      </c>
    </row>
    <row r="257" spans="1:8" x14ac:dyDescent="0.25">
      <c r="A257" t="s">
        <v>44</v>
      </c>
      <c r="B257" t="s">
        <v>45</v>
      </c>
      <c r="C257" t="s">
        <v>732</v>
      </c>
      <c r="D257" t="s">
        <v>92</v>
      </c>
      <c r="E257">
        <v>0</v>
      </c>
      <c r="F257">
        <v>0</v>
      </c>
      <c r="G257">
        <v>0</v>
      </c>
      <c r="H257">
        <v>0</v>
      </c>
    </row>
    <row r="258" spans="1:8" x14ac:dyDescent="0.25">
      <c r="A258" t="s">
        <v>44</v>
      </c>
      <c r="B258" t="s">
        <v>45</v>
      </c>
      <c r="C258" t="s">
        <v>733</v>
      </c>
      <c r="D258" t="s">
        <v>92</v>
      </c>
      <c r="E258">
        <v>0</v>
      </c>
      <c r="F258">
        <v>0</v>
      </c>
      <c r="G258">
        <v>0</v>
      </c>
      <c r="H258">
        <v>0</v>
      </c>
    </row>
    <row r="259" spans="1:8" x14ac:dyDescent="0.25">
      <c r="A259" t="s">
        <v>44</v>
      </c>
      <c r="B259" t="s">
        <v>45</v>
      </c>
      <c r="C259" t="s">
        <v>734</v>
      </c>
      <c r="D259" t="s">
        <v>92</v>
      </c>
      <c r="E259">
        <v>0</v>
      </c>
      <c r="F259">
        <v>0</v>
      </c>
      <c r="G259">
        <v>0</v>
      </c>
      <c r="H259">
        <v>0</v>
      </c>
    </row>
    <row r="260" spans="1:8" x14ac:dyDescent="0.25">
      <c r="A260" t="s">
        <v>44</v>
      </c>
      <c r="B260" t="s">
        <v>45</v>
      </c>
      <c r="C260" t="s">
        <v>735</v>
      </c>
      <c r="D260" t="s">
        <v>92</v>
      </c>
      <c r="E260">
        <v>0</v>
      </c>
      <c r="F260">
        <v>0</v>
      </c>
      <c r="G260">
        <v>0</v>
      </c>
      <c r="H260">
        <v>0</v>
      </c>
    </row>
    <row r="261" spans="1:8" x14ac:dyDescent="0.25">
      <c r="A261" t="s">
        <v>44</v>
      </c>
      <c r="B261" t="s">
        <v>45</v>
      </c>
      <c r="C261" t="s">
        <v>736</v>
      </c>
      <c r="D261" t="s">
        <v>92</v>
      </c>
      <c r="E261">
        <v>0</v>
      </c>
      <c r="F261">
        <v>0</v>
      </c>
      <c r="G261">
        <v>0</v>
      </c>
      <c r="H261">
        <v>0</v>
      </c>
    </row>
    <row r="262" spans="1:8" x14ac:dyDescent="0.25">
      <c r="A262" t="s">
        <v>44</v>
      </c>
      <c r="B262" t="s">
        <v>45</v>
      </c>
      <c r="C262" t="s">
        <v>737</v>
      </c>
      <c r="D262" t="s">
        <v>92</v>
      </c>
      <c r="E262">
        <v>0</v>
      </c>
      <c r="F262">
        <v>0</v>
      </c>
      <c r="G262">
        <v>0</v>
      </c>
      <c r="H262">
        <v>0</v>
      </c>
    </row>
    <row r="263" spans="1:8" x14ac:dyDescent="0.25">
      <c r="A263" t="s">
        <v>44</v>
      </c>
      <c r="B263" t="s">
        <v>45</v>
      </c>
      <c r="C263" t="s">
        <v>738</v>
      </c>
      <c r="D263" t="s">
        <v>92</v>
      </c>
      <c r="E263">
        <v>0</v>
      </c>
      <c r="F263">
        <v>0</v>
      </c>
      <c r="G263">
        <v>0</v>
      </c>
      <c r="H263">
        <v>0</v>
      </c>
    </row>
    <row r="264" spans="1:8" x14ac:dyDescent="0.25">
      <c r="A264" t="s">
        <v>44</v>
      </c>
      <c r="B264" t="s">
        <v>45</v>
      </c>
      <c r="C264" t="s">
        <v>739</v>
      </c>
      <c r="D264" t="s">
        <v>92</v>
      </c>
      <c r="E264">
        <v>0</v>
      </c>
      <c r="F264">
        <v>0</v>
      </c>
      <c r="G264">
        <v>0</v>
      </c>
      <c r="H264">
        <v>0</v>
      </c>
    </row>
    <row r="265" spans="1:8" x14ac:dyDescent="0.25">
      <c r="A265" t="s">
        <v>44</v>
      </c>
      <c r="B265" t="s">
        <v>45</v>
      </c>
      <c r="C265" t="s">
        <v>740</v>
      </c>
      <c r="D265" t="s">
        <v>92</v>
      </c>
      <c r="E265">
        <v>0</v>
      </c>
      <c r="F265">
        <v>0</v>
      </c>
      <c r="G265">
        <v>0</v>
      </c>
      <c r="H265">
        <v>0</v>
      </c>
    </row>
    <row r="266" spans="1:8" x14ac:dyDescent="0.25">
      <c r="A266" t="s">
        <v>44</v>
      </c>
      <c r="B266" t="s">
        <v>45</v>
      </c>
      <c r="C266" t="s">
        <v>741</v>
      </c>
      <c r="D266" t="s">
        <v>92</v>
      </c>
      <c r="E266">
        <v>0</v>
      </c>
      <c r="F266">
        <v>0</v>
      </c>
      <c r="G266">
        <v>0</v>
      </c>
      <c r="H266">
        <v>0</v>
      </c>
    </row>
    <row r="267" spans="1:8" x14ac:dyDescent="0.25">
      <c r="A267" t="s">
        <v>44</v>
      </c>
      <c r="B267" t="s">
        <v>45</v>
      </c>
      <c r="C267" t="s">
        <v>742</v>
      </c>
      <c r="D267" t="s">
        <v>92</v>
      </c>
      <c r="E267">
        <v>0</v>
      </c>
      <c r="F267">
        <v>0</v>
      </c>
      <c r="G267">
        <v>0</v>
      </c>
      <c r="H267">
        <v>0</v>
      </c>
    </row>
    <row r="268" spans="1:8" x14ac:dyDescent="0.25">
      <c r="A268" t="s">
        <v>44</v>
      </c>
      <c r="B268" t="s">
        <v>45</v>
      </c>
      <c r="C268" t="s">
        <v>743</v>
      </c>
      <c r="D268" t="s">
        <v>92</v>
      </c>
      <c r="E268">
        <v>0</v>
      </c>
      <c r="F268">
        <v>0</v>
      </c>
      <c r="G268">
        <v>0</v>
      </c>
      <c r="H268">
        <v>0</v>
      </c>
    </row>
    <row r="269" spans="1:8" x14ac:dyDescent="0.25">
      <c r="A269" t="s">
        <v>44</v>
      </c>
      <c r="B269" t="s">
        <v>45</v>
      </c>
      <c r="C269" t="s">
        <v>744</v>
      </c>
      <c r="D269" t="s">
        <v>92</v>
      </c>
      <c r="E269">
        <v>0</v>
      </c>
      <c r="F269">
        <v>0</v>
      </c>
      <c r="G269">
        <v>0</v>
      </c>
      <c r="H269">
        <v>0</v>
      </c>
    </row>
    <row r="270" spans="1:8" x14ac:dyDescent="0.25">
      <c r="A270" t="s">
        <v>44</v>
      </c>
      <c r="B270" t="s">
        <v>45</v>
      </c>
      <c r="C270" t="s">
        <v>253</v>
      </c>
      <c r="D270" t="s">
        <v>92</v>
      </c>
      <c r="E270">
        <v>0</v>
      </c>
      <c r="F270">
        <v>0</v>
      </c>
      <c r="G270">
        <v>1</v>
      </c>
      <c r="H270">
        <v>0</v>
      </c>
    </row>
    <row r="271" spans="1:8" x14ac:dyDescent="0.25">
      <c r="A271" t="s">
        <v>44</v>
      </c>
      <c r="B271" t="s">
        <v>45</v>
      </c>
      <c r="C271" t="s">
        <v>258</v>
      </c>
      <c r="D271" t="s">
        <v>92</v>
      </c>
      <c r="E271">
        <v>0</v>
      </c>
      <c r="F271">
        <v>0</v>
      </c>
      <c r="G271">
        <v>1</v>
      </c>
      <c r="H271">
        <v>1</v>
      </c>
    </row>
    <row r="272" spans="1:8" x14ac:dyDescent="0.25">
      <c r="A272" t="s">
        <v>44</v>
      </c>
      <c r="B272" t="s">
        <v>45</v>
      </c>
      <c r="C272" t="s">
        <v>745</v>
      </c>
      <c r="D272" t="s">
        <v>92</v>
      </c>
      <c r="E272">
        <v>0</v>
      </c>
      <c r="F272">
        <v>0</v>
      </c>
      <c r="G272">
        <v>0</v>
      </c>
      <c r="H272">
        <v>0</v>
      </c>
    </row>
    <row r="273" spans="1:8" x14ac:dyDescent="0.25">
      <c r="A273" t="s">
        <v>44</v>
      </c>
      <c r="B273" t="s">
        <v>45</v>
      </c>
      <c r="C273" t="s">
        <v>746</v>
      </c>
      <c r="D273" t="s">
        <v>92</v>
      </c>
      <c r="E273">
        <v>0</v>
      </c>
      <c r="F273">
        <v>0</v>
      </c>
      <c r="G273">
        <v>0</v>
      </c>
      <c r="H273">
        <v>0</v>
      </c>
    </row>
    <row r="274" spans="1:8" x14ac:dyDescent="0.25">
      <c r="A274" t="s">
        <v>44</v>
      </c>
      <c r="B274" t="s">
        <v>45</v>
      </c>
      <c r="C274" t="s">
        <v>411</v>
      </c>
      <c r="D274" t="s">
        <v>92</v>
      </c>
      <c r="E274">
        <v>0</v>
      </c>
      <c r="F274">
        <v>0</v>
      </c>
      <c r="G274">
        <v>0</v>
      </c>
      <c r="H274">
        <v>1</v>
      </c>
    </row>
    <row r="275" spans="1:8" x14ac:dyDescent="0.25">
      <c r="A275" t="s">
        <v>44</v>
      </c>
      <c r="B275" t="s">
        <v>45</v>
      </c>
      <c r="C275" t="s">
        <v>747</v>
      </c>
      <c r="D275" t="s">
        <v>92</v>
      </c>
      <c r="E275">
        <v>0</v>
      </c>
      <c r="F275">
        <v>0</v>
      </c>
      <c r="G275">
        <v>0</v>
      </c>
      <c r="H275">
        <v>0</v>
      </c>
    </row>
    <row r="276" spans="1:8" x14ac:dyDescent="0.25">
      <c r="A276" t="s">
        <v>44</v>
      </c>
      <c r="B276" t="s">
        <v>45</v>
      </c>
      <c r="C276" t="s">
        <v>748</v>
      </c>
      <c r="D276" t="s">
        <v>92</v>
      </c>
      <c r="E276">
        <v>0</v>
      </c>
      <c r="F276">
        <v>0</v>
      </c>
      <c r="G276">
        <v>0</v>
      </c>
      <c r="H276">
        <v>0</v>
      </c>
    </row>
    <row r="277" spans="1:8" x14ac:dyDescent="0.25">
      <c r="A277" t="s">
        <v>44</v>
      </c>
      <c r="B277" t="s">
        <v>45</v>
      </c>
      <c r="C277" t="s">
        <v>749</v>
      </c>
      <c r="D277" t="s">
        <v>92</v>
      </c>
      <c r="E277">
        <v>0</v>
      </c>
      <c r="F277">
        <v>0</v>
      </c>
      <c r="G277">
        <v>0</v>
      </c>
      <c r="H277">
        <v>0</v>
      </c>
    </row>
    <row r="278" spans="1:8" x14ac:dyDescent="0.25">
      <c r="A278" t="s">
        <v>44</v>
      </c>
      <c r="B278" t="s">
        <v>45</v>
      </c>
      <c r="C278" t="s">
        <v>387</v>
      </c>
      <c r="D278" t="s">
        <v>92</v>
      </c>
      <c r="E278">
        <v>0</v>
      </c>
      <c r="F278">
        <v>0</v>
      </c>
      <c r="G278">
        <v>0</v>
      </c>
      <c r="H278">
        <v>1</v>
      </c>
    </row>
    <row r="279" spans="1:8" x14ac:dyDescent="0.25">
      <c r="A279" t="s">
        <v>44</v>
      </c>
      <c r="B279" t="s">
        <v>45</v>
      </c>
      <c r="C279" t="s">
        <v>392</v>
      </c>
      <c r="D279" t="s">
        <v>92</v>
      </c>
      <c r="E279">
        <v>0</v>
      </c>
      <c r="F279">
        <v>0</v>
      </c>
      <c r="G279">
        <v>0</v>
      </c>
      <c r="H279">
        <v>1</v>
      </c>
    </row>
    <row r="280" spans="1:8" x14ac:dyDescent="0.25">
      <c r="A280" t="s">
        <v>44</v>
      </c>
      <c r="B280" t="s">
        <v>45</v>
      </c>
      <c r="C280" t="s">
        <v>750</v>
      </c>
      <c r="D280" t="s">
        <v>92</v>
      </c>
      <c r="E280">
        <v>0</v>
      </c>
      <c r="F280">
        <v>0</v>
      </c>
      <c r="G280">
        <v>0</v>
      </c>
      <c r="H280">
        <v>0</v>
      </c>
    </row>
    <row r="281" spans="1:8" x14ac:dyDescent="0.25">
      <c r="A281" t="s">
        <v>44</v>
      </c>
      <c r="B281" t="s">
        <v>45</v>
      </c>
      <c r="C281" t="s">
        <v>396</v>
      </c>
      <c r="D281" t="s">
        <v>92</v>
      </c>
      <c r="E281">
        <v>0</v>
      </c>
      <c r="F281">
        <v>0</v>
      </c>
      <c r="G281">
        <v>0</v>
      </c>
      <c r="H281">
        <v>1</v>
      </c>
    </row>
    <row r="282" spans="1:8" x14ac:dyDescent="0.25">
      <c r="A282" t="s">
        <v>44</v>
      </c>
      <c r="B282" t="s">
        <v>45</v>
      </c>
      <c r="C282" t="s">
        <v>398</v>
      </c>
      <c r="D282" t="s">
        <v>92</v>
      </c>
      <c r="E282">
        <v>0</v>
      </c>
      <c r="F282">
        <v>0</v>
      </c>
      <c r="G282">
        <v>0</v>
      </c>
      <c r="H282">
        <v>1</v>
      </c>
    </row>
    <row r="283" spans="1:8" x14ac:dyDescent="0.25">
      <c r="A283" t="s">
        <v>44</v>
      </c>
      <c r="B283" t="s">
        <v>45</v>
      </c>
      <c r="C283" t="s">
        <v>403</v>
      </c>
      <c r="D283" t="s">
        <v>92</v>
      </c>
      <c r="E283">
        <v>0</v>
      </c>
      <c r="F283">
        <v>0</v>
      </c>
      <c r="G283">
        <v>0</v>
      </c>
      <c r="H283">
        <v>1</v>
      </c>
    </row>
    <row r="284" spans="1:8" x14ac:dyDescent="0.25">
      <c r="A284" t="s">
        <v>44</v>
      </c>
      <c r="B284" t="s">
        <v>45</v>
      </c>
      <c r="C284" t="s">
        <v>751</v>
      </c>
      <c r="D284" t="s">
        <v>92</v>
      </c>
      <c r="E284">
        <v>0</v>
      </c>
      <c r="F284">
        <v>0</v>
      </c>
      <c r="G284">
        <v>0</v>
      </c>
      <c r="H284">
        <v>0</v>
      </c>
    </row>
    <row r="285" spans="1:8" x14ac:dyDescent="0.25">
      <c r="A285" t="s">
        <v>44</v>
      </c>
      <c r="B285" t="s">
        <v>45</v>
      </c>
      <c r="C285" t="s">
        <v>752</v>
      </c>
      <c r="D285" t="s">
        <v>92</v>
      </c>
      <c r="E285">
        <v>0</v>
      </c>
      <c r="F285">
        <v>0</v>
      </c>
      <c r="G285">
        <v>0</v>
      </c>
      <c r="H285">
        <v>0</v>
      </c>
    </row>
    <row r="286" spans="1:8" x14ac:dyDescent="0.25">
      <c r="A286" t="s">
        <v>44</v>
      </c>
      <c r="B286" t="s">
        <v>45</v>
      </c>
      <c r="C286" t="s">
        <v>753</v>
      </c>
      <c r="D286" t="s">
        <v>92</v>
      </c>
      <c r="E286">
        <v>0</v>
      </c>
      <c r="F286">
        <v>0</v>
      </c>
      <c r="G286">
        <v>0</v>
      </c>
      <c r="H286">
        <v>0</v>
      </c>
    </row>
    <row r="287" spans="1:8" x14ac:dyDescent="0.25">
      <c r="A287" t="s">
        <v>44</v>
      </c>
      <c r="B287" t="s">
        <v>45</v>
      </c>
      <c r="C287" t="s">
        <v>754</v>
      </c>
      <c r="D287" t="s">
        <v>92</v>
      </c>
      <c r="E287">
        <v>0</v>
      </c>
      <c r="F287">
        <v>0</v>
      </c>
      <c r="G287">
        <v>0</v>
      </c>
      <c r="H287">
        <v>0</v>
      </c>
    </row>
    <row r="288" spans="1:8" x14ac:dyDescent="0.25">
      <c r="A288" t="s">
        <v>44</v>
      </c>
      <c r="B288" t="s">
        <v>45</v>
      </c>
      <c r="C288" t="s">
        <v>755</v>
      </c>
      <c r="D288" t="s">
        <v>92</v>
      </c>
      <c r="E288">
        <v>0</v>
      </c>
      <c r="F288">
        <v>0</v>
      </c>
      <c r="G288">
        <v>0</v>
      </c>
      <c r="H288">
        <v>0</v>
      </c>
    </row>
    <row r="289" spans="1:8" x14ac:dyDescent="0.25">
      <c r="A289" t="s">
        <v>44</v>
      </c>
      <c r="B289" t="s">
        <v>45</v>
      </c>
      <c r="C289" t="s">
        <v>756</v>
      </c>
      <c r="D289" t="s">
        <v>92</v>
      </c>
      <c r="E289">
        <v>0</v>
      </c>
      <c r="F289">
        <v>0</v>
      </c>
      <c r="G289">
        <v>0</v>
      </c>
      <c r="H289">
        <v>0</v>
      </c>
    </row>
    <row r="290" spans="1:8" x14ac:dyDescent="0.25">
      <c r="A290" t="s">
        <v>44</v>
      </c>
      <c r="B290" t="s">
        <v>45</v>
      </c>
      <c r="C290" t="s">
        <v>757</v>
      </c>
      <c r="D290" t="s">
        <v>92</v>
      </c>
      <c r="E290">
        <v>0</v>
      </c>
      <c r="F290">
        <v>0</v>
      </c>
      <c r="G290">
        <v>0</v>
      </c>
      <c r="H290">
        <v>0</v>
      </c>
    </row>
    <row r="291" spans="1:8" x14ac:dyDescent="0.25">
      <c r="A291" t="s">
        <v>44</v>
      </c>
      <c r="B291" t="s">
        <v>45</v>
      </c>
      <c r="C291" t="s">
        <v>758</v>
      </c>
      <c r="D291" t="s">
        <v>92</v>
      </c>
      <c r="E291">
        <v>0</v>
      </c>
      <c r="F291">
        <v>0</v>
      </c>
      <c r="G291">
        <v>0</v>
      </c>
      <c r="H291">
        <v>0</v>
      </c>
    </row>
    <row r="292" spans="1:8" x14ac:dyDescent="0.25">
      <c r="A292" t="s">
        <v>44</v>
      </c>
      <c r="B292" t="s">
        <v>45</v>
      </c>
      <c r="C292" t="s">
        <v>759</v>
      </c>
      <c r="D292" t="s">
        <v>92</v>
      </c>
      <c r="E292">
        <v>0</v>
      </c>
      <c r="F292">
        <v>0</v>
      </c>
      <c r="G292">
        <v>0</v>
      </c>
      <c r="H292">
        <v>0</v>
      </c>
    </row>
    <row r="293" spans="1:8" x14ac:dyDescent="0.25">
      <c r="A293" t="s">
        <v>44</v>
      </c>
      <c r="B293" t="s">
        <v>45</v>
      </c>
      <c r="C293" t="s">
        <v>760</v>
      </c>
      <c r="D293" t="s">
        <v>92</v>
      </c>
      <c r="E293">
        <v>0</v>
      </c>
      <c r="F293">
        <v>0</v>
      </c>
      <c r="G293">
        <v>0</v>
      </c>
      <c r="H293">
        <v>0</v>
      </c>
    </row>
    <row r="294" spans="1:8" x14ac:dyDescent="0.25">
      <c r="A294" t="s">
        <v>44</v>
      </c>
      <c r="B294" t="s">
        <v>45</v>
      </c>
      <c r="C294" t="s">
        <v>761</v>
      </c>
      <c r="D294" t="s">
        <v>92</v>
      </c>
      <c r="E294">
        <v>0</v>
      </c>
      <c r="F294">
        <v>0</v>
      </c>
      <c r="G294">
        <v>0</v>
      </c>
      <c r="H294">
        <v>0</v>
      </c>
    </row>
    <row r="295" spans="1:8" x14ac:dyDescent="0.25">
      <c r="A295" t="s">
        <v>44</v>
      </c>
      <c r="B295" t="s">
        <v>45</v>
      </c>
      <c r="C295" t="s">
        <v>762</v>
      </c>
      <c r="D295" t="s">
        <v>92</v>
      </c>
      <c r="E295">
        <v>0</v>
      </c>
      <c r="F295">
        <v>0</v>
      </c>
      <c r="G295">
        <v>0</v>
      </c>
      <c r="H295">
        <v>0</v>
      </c>
    </row>
    <row r="296" spans="1:8" x14ac:dyDescent="0.25">
      <c r="A296" t="s">
        <v>44</v>
      </c>
      <c r="B296" t="s">
        <v>45</v>
      </c>
      <c r="C296" t="s">
        <v>763</v>
      </c>
      <c r="D296" t="s">
        <v>92</v>
      </c>
      <c r="E296">
        <v>0</v>
      </c>
      <c r="F296">
        <v>0</v>
      </c>
      <c r="G296">
        <v>0</v>
      </c>
      <c r="H296">
        <v>0</v>
      </c>
    </row>
    <row r="297" spans="1:8" x14ac:dyDescent="0.25">
      <c r="A297" t="s">
        <v>44</v>
      </c>
      <c r="B297" t="s">
        <v>45</v>
      </c>
      <c r="C297" t="s">
        <v>764</v>
      </c>
      <c r="D297" t="s">
        <v>92</v>
      </c>
      <c r="E297">
        <v>0</v>
      </c>
      <c r="F297">
        <v>0</v>
      </c>
      <c r="G297">
        <v>0</v>
      </c>
      <c r="H297">
        <v>0</v>
      </c>
    </row>
    <row r="298" spans="1:8" x14ac:dyDescent="0.25">
      <c r="A298" t="s">
        <v>44</v>
      </c>
      <c r="B298" t="s">
        <v>45</v>
      </c>
      <c r="C298" t="s">
        <v>765</v>
      </c>
      <c r="D298" t="s">
        <v>92</v>
      </c>
      <c r="E298">
        <v>0</v>
      </c>
      <c r="F298">
        <v>0</v>
      </c>
      <c r="G298">
        <v>0</v>
      </c>
      <c r="H298">
        <v>0</v>
      </c>
    </row>
    <row r="299" spans="1:8" x14ac:dyDescent="0.25">
      <c r="A299" t="s">
        <v>44</v>
      </c>
      <c r="B299" t="s">
        <v>45</v>
      </c>
      <c r="C299" t="s">
        <v>766</v>
      </c>
      <c r="D299" t="s">
        <v>92</v>
      </c>
      <c r="E299">
        <v>0</v>
      </c>
      <c r="F299">
        <v>0</v>
      </c>
      <c r="G299">
        <v>0</v>
      </c>
      <c r="H299">
        <v>0</v>
      </c>
    </row>
    <row r="300" spans="1:8" x14ac:dyDescent="0.25">
      <c r="A300" t="s">
        <v>44</v>
      </c>
      <c r="B300" t="s">
        <v>45</v>
      </c>
      <c r="C300" t="s">
        <v>767</v>
      </c>
      <c r="D300" t="s">
        <v>92</v>
      </c>
      <c r="E300">
        <v>0</v>
      </c>
      <c r="F300">
        <v>0</v>
      </c>
      <c r="G300">
        <v>0</v>
      </c>
      <c r="H300">
        <v>0</v>
      </c>
    </row>
    <row r="301" spans="1:8" x14ac:dyDescent="0.25">
      <c r="A301" t="s">
        <v>44</v>
      </c>
      <c r="B301" t="s">
        <v>45</v>
      </c>
      <c r="C301" t="s">
        <v>768</v>
      </c>
      <c r="D301" t="s">
        <v>92</v>
      </c>
      <c r="E301">
        <v>0</v>
      </c>
      <c r="F301">
        <v>0</v>
      </c>
      <c r="G301">
        <v>0</v>
      </c>
      <c r="H301">
        <v>0</v>
      </c>
    </row>
    <row r="302" spans="1:8" x14ac:dyDescent="0.25">
      <c r="A302" t="s">
        <v>44</v>
      </c>
      <c r="B302" t="s">
        <v>45</v>
      </c>
      <c r="C302" t="s">
        <v>769</v>
      </c>
      <c r="D302" t="s">
        <v>92</v>
      </c>
      <c r="E302">
        <v>0</v>
      </c>
      <c r="F302">
        <v>0</v>
      </c>
      <c r="G302">
        <v>0</v>
      </c>
      <c r="H302">
        <v>0</v>
      </c>
    </row>
    <row r="303" spans="1:8" x14ac:dyDescent="0.25">
      <c r="A303" t="s">
        <v>44</v>
      </c>
      <c r="B303" t="s">
        <v>45</v>
      </c>
      <c r="C303" t="s">
        <v>543</v>
      </c>
      <c r="D303" t="s">
        <v>92</v>
      </c>
      <c r="E303">
        <v>0</v>
      </c>
      <c r="F303">
        <v>0</v>
      </c>
      <c r="G303">
        <v>0</v>
      </c>
      <c r="H303">
        <v>1</v>
      </c>
    </row>
    <row r="304" spans="1:8" x14ac:dyDescent="0.25">
      <c r="A304" t="s">
        <v>44</v>
      </c>
      <c r="B304" t="s">
        <v>45</v>
      </c>
      <c r="C304" t="s">
        <v>545</v>
      </c>
      <c r="D304" t="s">
        <v>92</v>
      </c>
      <c r="E304">
        <v>0</v>
      </c>
      <c r="F304">
        <v>0</v>
      </c>
      <c r="G304">
        <v>0</v>
      </c>
      <c r="H304">
        <v>1</v>
      </c>
    </row>
    <row r="305" spans="1:8" x14ac:dyDescent="0.25">
      <c r="A305" t="s">
        <v>44</v>
      </c>
      <c r="B305" t="s">
        <v>45</v>
      </c>
      <c r="C305" t="s">
        <v>547</v>
      </c>
      <c r="D305" t="s">
        <v>92</v>
      </c>
      <c r="E305">
        <v>0</v>
      </c>
      <c r="F305">
        <v>0</v>
      </c>
      <c r="G305">
        <v>0</v>
      </c>
      <c r="H305">
        <v>1</v>
      </c>
    </row>
    <row r="306" spans="1:8" x14ac:dyDescent="0.25">
      <c r="A306" t="s">
        <v>44</v>
      </c>
      <c r="B306" t="s">
        <v>45</v>
      </c>
      <c r="C306" t="s">
        <v>770</v>
      </c>
      <c r="D306" t="s">
        <v>92</v>
      </c>
      <c r="E306">
        <v>0</v>
      </c>
      <c r="F306">
        <v>0</v>
      </c>
      <c r="G306">
        <v>0</v>
      </c>
      <c r="H306">
        <v>0</v>
      </c>
    </row>
    <row r="307" spans="1:8" x14ac:dyDescent="0.25">
      <c r="A307" t="s">
        <v>44</v>
      </c>
      <c r="B307" t="s">
        <v>45</v>
      </c>
      <c r="C307" t="s">
        <v>771</v>
      </c>
      <c r="D307" t="s">
        <v>92</v>
      </c>
      <c r="E307">
        <v>0</v>
      </c>
      <c r="F307">
        <v>0</v>
      </c>
      <c r="G307">
        <v>0</v>
      </c>
      <c r="H307">
        <v>0</v>
      </c>
    </row>
    <row r="308" spans="1:8" x14ac:dyDescent="0.25">
      <c r="A308" t="s">
        <v>44</v>
      </c>
      <c r="B308" t="s">
        <v>45</v>
      </c>
      <c r="C308" t="s">
        <v>772</v>
      </c>
      <c r="D308" t="s">
        <v>92</v>
      </c>
      <c r="E308">
        <v>0</v>
      </c>
      <c r="F308">
        <v>0</v>
      </c>
      <c r="G308">
        <v>0</v>
      </c>
      <c r="H308">
        <v>0</v>
      </c>
    </row>
    <row r="309" spans="1:8" x14ac:dyDescent="0.25">
      <c r="A309" t="s">
        <v>44</v>
      </c>
      <c r="B309" t="s">
        <v>45</v>
      </c>
      <c r="C309" t="s">
        <v>773</v>
      </c>
      <c r="D309" t="s">
        <v>92</v>
      </c>
      <c r="E309">
        <v>0</v>
      </c>
      <c r="F309">
        <v>0</v>
      </c>
      <c r="G309">
        <v>0</v>
      </c>
      <c r="H309">
        <v>0</v>
      </c>
    </row>
    <row r="310" spans="1:8" x14ac:dyDescent="0.25">
      <c r="A310" t="s">
        <v>44</v>
      </c>
      <c r="B310" t="s">
        <v>45</v>
      </c>
      <c r="C310" t="s">
        <v>774</v>
      </c>
      <c r="D310" t="s">
        <v>92</v>
      </c>
      <c r="E310">
        <v>0</v>
      </c>
      <c r="F310">
        <v>0</v>
      </c>
      <c r="G310">
        <v>0</v>
      </c>
      <c r="H310">
        <v>0</v>
      </c>
    </row>
    <row r="311" spans="1:8" x14ac:dyDescent="0.25">
      <c r="A311" t="s">
        <v>44</v>
      </c>
      <c r="B311" t="s">
        <v>45</v>
      </c>
      <c r="C311" t="s">
        <v>775</v>
      </c>
      <c r="D311" t="s">
        <v>92</v>
      </c>
      <c r="E311">
        <v>0</v>
      </c>
      <c r="F311">
        <v>0</v>
      </c>
      <c r="G311">
        <v>0</v>
      </c>
      <c r="H311">
        <v>0</v>
      </c>
    </row>
    <row r="312" spans="1:8" x14ac:dyDescent="0.25">
      <c r="A312" t="s">
        <v>44</v>
      </c>
      <c r="B312" t="s">
        <v>45</v>
      </c>
      <c r="C312" t="s">
        <v>549</v>
      </c>
      <c r="D312" t="s">
        <v>92</v>
      </c>
      <c r="E312">
        <v>0</v>
      </c>
      <c r="F312">
        <v>0</v>
      </c>
      <c r="G312">
        <v>0</v>
      </c>
      <c r="H312">
        <v>1</v>
      </c>
    </row>
    <row r="313" spans="1:8" x14ac:dyDescent="0.25">
      <c r="A313" t="s">
        <v>44</v>
      </c>
      <c r="B313" t="s">
        <v>45</v>
      </c>
      <c r="C313" t="s">
        <v>551</v>
      </c>
      <c r="D313" t="s">
        <v>92</v>
      </c>
      <c r="E313">
        <v>0</v>
      </c>
      <c r="F313">
        <v>0</v>
      </c>
      <c r="G313">
        <v>0</v>
      </c>
      <c r="H313">
        <v>1</v>
      </c>
    </row>
    <row r="314" spans="1:8" x14ac:dyDescent="0.25">
      <c r="A314" t="s">
        <v>44</v>
      </c>
      <c r="B314" t="s">
        <v>45</v>
      </c>
      <c r="C314" t="s">
        <v>776</v>
      </c>
      <c r="D314" t="s">
        <v>92</v>
      </c>
      <c r="E314">
        <v>0</v>
      </c>
      <c r="F314">
        <v>0</v>
      </c>
      <c r="G314">
        <v>0</v>
      </c>
      <c r="H314">
        <v>0</v>
      </c>
    </row>
    <row r="315" spans="1:8" x14ac:dyDescent="0.25">
      <c r="A315" t="s">
        <v>44</v>
      </c>
      <c r="B315" t="s">
        <v>45</v>
      </c>
      <c r="C315" t="s">
        <v>553</v>
      </c>
      <c r="D315" t="s">
        <v>92</v>
      </c>
      <c r="E315">
        <v>0</v>
      </c>
      <c r="F315">
        <v>0</v>
      </c>
      <c r="G315">
        <v>0</v>
      </c>
      <c r="H315">
        <v>1</v>
      </c>
    </row>
    <row r="316" spans="1:8" x14ac:dyDescent="0.25">
      <c r="A316" t="s">
        <v>44</v>
      </c>
      <c r="B316" t="s">
        <v>45</v>
      </c>
      <c r="C316" t="s">
        <v>777</v>
      </c>
      <c r="D316" t="s">
        <v>92</v>
      </c>
      <c r="E316">
        <v>0</v>
      </c>
      <c r="F316">
        <v>0</v>
      </c>
      <c r="G316">
        <v>0</v>
      </c>
      <c r="H316">
        <v>0</v>
      </c>
    </row>
    <row r="317" spans="1:8" x14ac:dyDescent="0.25">
      <c r="A317" t="s">
        <v>44</v>
      </c>
      <c r="B317" t="s">
        <v>45</v>
      </c>
      <c r="C317" t="s">
        <v>778</v>
      </c>
      <c r="D317" t="s">
        <v>92</v>
      </c>
      <c r="E317">
        <v>0</v>
      </c>
      <c r="F317">
        <v>0</v>
      </c>
      <c r="G317">
        <v>0</v>
      </c>
      <c r="H317">
        <v>0</v>
      </c>
    </row>
    <row r="318" spans="1:8" x14ac:dyDescent="0.25">
      <c r="A318" t="s">
        <v>44</v>
      </c>
      <c r="B318" t="s">
        <v>45</v>
      </c>
      <c r="C318" t="s">
        <v>779</v>
      </c>
      <c r="D318" t="s">
        <v>92</v>
      </c>
      <c r="E318">
        <v>0</v>
      </c>
      <c r="F318">
        <v>0</v>
      </c>
      <c r="G318">
        <v>0</v>
      </c>
      <c r="H318">
        <v>0</v>
      </c>
    </row>
    <row r="319" spans="1:8" x14ac:dyDescent="0.25">
      <c r="A319" t="s">
        <v>44</v>
      </c>
      <c r="B319" t="s">
        <v>45</v>
      </c>
      <c r="C319" t="s">
        <v>780</v>
      </c>
      <c r="D319" t="s">
        <v>92</v>
      </c>
      <c r="E319">
        <v>0</v>
      </c>
      <c r="F319">
        <v>0</v>
      </c>
      <c r="G319">
        <v>0</v>
      </c>
      <c r="H319">
        <v>0</v>
      </c>
    </row>
    <row r="320" spans="1:8" x14ac:dyDescent="0.25">
      <c r="A320" t="s">
        <v>44</v>
      </c>
      <c r="B320" t="s">
        <v>45</v>
      </c>
      <c r="C320" t="s">
        <v>781</v>
      </c>
      <c r="D320" t="s">
        <v>92</v>
      </c>
      <c r="E320">
        <v>0</v>
      </c>
      <c r="F320">
        <v>0</v>
      </c>
      <c r="G320">
        <v>0</v>
      </c>
      <c r="H320">
        <v>0</v>
      </c>
    </row>
    <row r="321" spans="1:8" x14ac:dyDescent="0.25">
      <c r="A321" t="s">
        <v>44</v>
      </c>
      <c r="B321" t="s">
        <v>45</v>
      </c>
      <c r="C321" t="s">
        <v>782</v>
      </c>
      <c r="D321" t="s">
        <v>92</v>
      </c>
      <c r="E321">
        <v>0</v>
      </c>
      <c r="F321">
        <v>0</v>
      </c>
      <c r="G321">
        <v>0</v>
      </c>
      <c r="H321">
        <v>0</v>
      </c>
    </row>
    <row r="322" spans="1:8" x14ac:dyDescent="0.25">
      <c r="A322" t="s">
        <v>44</v>
      </c>
      <c r="B322" t="s">
        <v>45</v>
      </c>
      <c r="C322" t="s">
        <v>783</v>
      </c>
      <c r="D322" t="s">
        <v>92</v>
      </c>
      <c r="E322">
        <v>0</v>
      </c>
      <c r="F322">
        <v>0</v>
      </c>
      <c r="G322">
        <v>0</v>
      </c>
      <c r="H322">
        <v>0</v>
      </c>
    </row>
    <row r="323" spans="1:8" x14ac:dyDescent="0.25">
      <c r="A323" t="s">
        <v>44</v>
      </c>
      <c r="B323" t="s">
        <v>45</v>
      </c>
      <c r="C323" t="s">
        <v>784</v>
      </c>
      <c r="D323" t="s">
        <v>92</v>
      </c>
      <c r="E323">
        <v>0</v>
      </c>
      <c r="F323">
        <v>0</v>
      </c>
      <c r="G323">
        <v>0</v>
      </c>
      <c r="H323">
        <v>0</v>
      </c>
    </row>
    <row r="324" spans="1:8" x14ac:dyDescent="0.25">
      <c r="A324" t="s">
        <v>44</v>
      </c>
      <c r="B324" t="s">
        <v>45</v>
      </c>
      <c r="C324" t="s">
        <v>785</v>
      </c>
      <c r="D324" t="s">
        <v>92</v>
      </c>
      <c r="E324">
        <v>0</v>
      </c>
      <c r="F324">
        <v>0</v>
      </c>
      <c r="G324">
        <v>0</v>
      </c>
      <c r="H324">
        <v>0</v>
      </c>
    </row>
    <row r="325" spans="1:8" x14ac:dyDescent="0.25">
      <c r="A325" t="s">
        <v>44</v>
      </c>
      <c r="B325" t="s">
        <v>45</v>
      </c>
      <c r="C325" t="s">
        <v>786</v>
      </c>
      <c r="D325" t="s">
        <v>92</v>
      </c>
      <c r="E325">
        <v>0</v>
      </c>
      <c r="F325">
        <v>0</v>
      </c>
      <c r="G325">
        <v>0</v>
      </c>
      <c r="H325">
        <v>0</v>
      </c>
    </row>
    <row r="326" spans="1:8" x14ac:dyDescent="0.25">
      <c r="A326" t="s">
        <v>44</v>
      </c>
      <c r="B326" t="s">
        <v>45</v>
      </c>
      <c r="C326" t="s">
        <v>787</v>
      </c>
      <c r="D326" t="s">
        <v>92</v>
      </c>
      <c r="E326">
        <v>0</v>
      </c>
      <c r="F326">
        <v>0</v>
      </c>
      <c r="G326">
        <v>0</v>
      </c>
      <c r="H326">
        <v>0</v>
      </c>
    </row>
    <row r="327" spans="1:8" x14ac:dyDescent="0.25">
      <c r="A327" t="s">
        <v>44</v>
      </c>
      <c r="B327" t="s">
        <v>45</v>
      </c>
      <c r="C327" t="s">
        <v>788</v>
      </c>
      <c r="D327" t="s">
        <v>92</v>
      </c>
      <c r="E327">
        <v>0</v>
      </c>
      <c r="F327">
        <v>0</v>
      </c>
      <c r="G327">
        <v>0</v>
      </c>
      <c r="H327">
        <v>0</v>
      </c>
    </row>
    <row r="328" spans="1:8" x14ac:dyDescent="0.25">
      <c r="A328" t="s">
        <v>44</v>
      </c>
      <c r="B328" t="s">
        <v>45</v>
      </c>
      <c r="C328" t="s">
        <v>789</v>
      </c>
      <c r="D328" t="s">
        <v>92</v>
      </c>
      <c r="E328">
        <v>0</v>
      </c>
      <c r="F328">
        <v>0</v>
      </c>
      <c r="G328">
        <v>0</v>
      </c>
      <c r="H328">
        <v>0</v>
      </c>
    </row>
    <row r="329" spans="1:8" x14ac:dyDescent="0.25">
      <c r="A329" t="s">
        <v>44</v>
      </c>
      <c r="B329" t="s">
        <v>45</v>
      </c>
      <c r="C329" t="s">
        <v>790</v>
      </c>
      <c r="D329" t="s">
        <v>92</v>
      </c>
      <c r="E329">
        <v>0</v>
      </c>
      <c r="F329">
        <v>0</v>
      </c>
      <c r="G329">
        <v>0</v>
      </c>
      <c r="H329">
        <v>0</v>
      </c>
    </row>
    <row r="330" spans="1:8" x14ac:dyDescent="0.25">
      <c r="A330" t="s">
        <v>44</v>
      </c>
      <c r="B330" t="s">
        <v>45</v>
      </c>
      <c r="C330" t="s">
        <v>555</v>
      </c>
      <c r="D330" t="s">
        <v>92</v>
      </c>
      <c r="E330">
        <v>0</v>
      </c>
      <c r="F330">
        <v>0</v>
      </c>
      <c r="G330">
        <v>0</v>
      </c>
      <c r="H330">
        <v>1</v>
      </c>
    </row>
    <row r="331" spans="1:8" x14ac:dyDescent="0.25">
      <c r="A331" t="s">
        <v>44</v>
      </c>
      <c r="B331" t="s">
        <v>45</v>
      </c>
      <c r="C331" t="s">
        <v>151</v>
      </c>
      <c r="D331" t="s">
        <v>92</v>
      </c>
      <c r="E331">
        <v>0</v>
      </c>
      <c r="F331">
        <v>0</v>
      </c>
      <c r="G331">
        <v>0</v>
      </c>
      <c r="H331">
        <v>1</v>
      </c>
    </row>
    <row r="332" spans="1:8" x14ac:dyDescent="0.25">
      <c r="A332" t="s">
        <v>44</v>
      </c>
      <c r="B332" t="s">
        <v>45</v>
      </c>
      <c r="C332" t="s">
        <v>263</v>
      </c>
      <c r="D332" t="s">
        <v>92</v>
      </c>
      <c r="E332">
        <v>0</v>
      </c>
      <c r="F332">
        <v>0</v>
      </c>
      <c r="G332">
        <v>0</v>
      </c>
      <c r="H332">
        <v>1</v>
      </c>
    </row>
    <row r="333" spans="1:8" x14ac:dyDescent="0.25">
      <c r="A333" t="s">
        <v>44</v>
      </c>
      <c r="B333" t="s">
        <v>45</v>
      </c>
      <c r="C333" t="s">
        <v>791</v>
      </c>
      <c r="D333" t="s">
        <v>92</v>
      </c>
      <c r="E333">
        <v>0</v>
      </c>
      <c r="F333">
        <v>0</v>
      </c>
      <c r="G333">
        <v>0</v>
      </c>
      <c r="H333">
        <v>0</v>
      </c>
    </row>
    <row r="334" spans="1:8" x14ac:dyDescent="0.25">
      <c r="A334" t="s">
        <v>44</v>
      </c>
      <c r="B334" t="s">
        <v>45</v>
      </c>
      <c r="C334" t="s">
        <v>792</v>
      </c>
      <c r="D334" t="s">
        <v>92</v>
      </c>
      <c r="E334">
        <v>0</v>
      </c>
      <c r="F334">
        <v>0</v>
      </c>
      <c r="G334">
        <v>0</v>
      </c>
      <c r="H334">
        <v>0</v>
      </c>
    </row>
    <row r="335" spans="1:8" x14ac:dyDescent="0.25">
      <c r="A335" t="s">
        <v>44</v>
      </c>
      <c r="B335" t="s">
        <v>45</v>
      </c>
      <c r="C335" t="s">
        <v>793</v>
      </c>
      <c r="D335" t="s">
        <v>92</v>
      </c>
      <c r="E335">
        <v>0</v>
      </c>
      <c r="F335">
        <v>0</v>
      </c>
      <c r="G335">
        <v>0</v>
      </c>
      <c r="H335">
        <v>0</v>
      </c>
    </row>
    <row r="336" spans="1:8" x14ac:dyDescent="0.25">
      <c r="A336" t="s">
        <v>44</v>
      </c>
      <c r="B336" t="s">
        <v>45</v>
      </c>
      <c r="C336" t="s">
        <v>794</v>
      </c>
      <c r="D336" t="s">
        <v>92</v>
      </c>
      <c r="E336">
        <v>0</v>
      </c>
      <c r="F336">
        <v>0</v>
      </c>
      <c r="G336">
        <v>0</v>
      </c>
      <c r="H336">
        <v>0</v>
      </c>
    </row>
    <row r="337" spans="1:8" x14ac:dyDescent="0.25">
      <c r="A337" t="s">
        <v>44</v>
      </c>
      <c r="B337" t="s">
        <v>45</v>
      </c>
      <c r="C337" t="s">
        <v>795</v>
      </c>
      <c r="D337" t="s">
        <v>92</v>
      </c>
      <c r="E337">
        <v>0</v>
      </c>
      <c r="F337">
        <v>0</v>
      </c>
      <c r="G337">
        <v>0</v>
      </c>
      <c r="H337">
        <v>0</v>
      </c>
    </row>
    <row r="338" spans="1:8" x14ac:dyDescent="0.25">
      <c r="A338" t="s">
        <v>44</v>
      </c>
      <c r="B338" t="s">
        <v>45</v>
      </c>
      <c r="C338" t="s">
        <v>796</v>
      </c>
      <c r="D338" t="s">
        <v>92</v>
      </c>
      <c r="E338">
        <v>0</v>
      </c>
      <c r="F338">
        <v>0</v>
      </c>
      <c r="G338">
        <v>0</v>
      </c>
      <c r="H338">
        <v>0</v>
      </c>
    </row>
    <row r="339" spans="1:8" x14ac:dyDescent="0.25">
      <c r="A339" t="s">
        <v>44</v>
      </c>
      <c r="B339" t="s">
        <v>45</v>
      </c>
      <c r="C339" t="s">
        <v>797</v>
      </c>
      <c r="D339" t="s">
        <v>92</v>
      </c>
      <c r="E339">
        <v>0</v>
      </c>
      <c r="F339">
        <v>0</v>
      </c>
      <c r="G339">
        <v>0</v>
      </c>
      <c r="H339">
        <v>0</v>
      </c>
    </row>
    <row r="340" spans="1:8" x14ac:dyDescent="0.25">
      <c r="A340" t="s">
        <v>44</v>
      </c>
      <c r="B340" t="s">
        <v>45</v>
      </c>
      <c r="C340" t="s">
        <v>798</v>
      </c>
      <c r="D340" t="s">
        <v>92</v>
      </c>
      <c r="E340">
        <v>0</v>
      </c>
      <c r="F340">
        <v>0</v>
      </c>
      <c r="G340">
        <v>0</v>
      </c>
      <c r="H340">
        <v>0</v>
      </c>
    </row>
    <row r="341" spans="1:8" x14ac:dyDescent="0.25">
      <c r="A341" t="s">
        <v>44</v>
      </c>
      <c r="B341" t="s">
        <v>45</v>
      </c>
      <c r="C341" t="s">
        <v>799</v>
      </c>
      <c r="D341" t="s">
        <v>92</v>
      </c>
      <c r="E341">
        <v>0</v>
      </c>
      <c r="F341">
        <v>0</v>
      </c>
      <c r="G341">
        <v>0</v>
      </c>
      <c r="H341">
        <v>0</v>
      </c>
    </row>
    <row r="342" spans="1:8" x14ac:dyDescent="0.25">
      <c r="A342" t="s">
        <v>44</v>
      </c>
      <c r="B342" t="s">
        <v>45</v>
      </c>
      <c r="C342" t="s">
        <v>800</v>
      </c>
      <c r="D342" t="s">
        <v>92</v>
      </c>
      <c r="E342">
        <v>0</v>
      </c>
      <c r="F342">
        <v>0</v>
      </c>
      <c r="G342">
        <v>0</v>
      </c>
      <c r="H342">
        <v>0</v>
      </c>
    </row>
    <row r="343" spans="1:8" x14ac:dyDescent="0.25">
      <c r="A343" t="s">
        <v>44</v>
      </c>
      <c r="B343" t="s">
        <v>45</v>
      </c>
      <c r="C343" t="s">
        <v>801</v>
      </c>
      <c r="D343" t="s">
        <v>92</v>
      </c>
      <c r="E343">
        <v>0</v>
      </c>
      <c r="F343">
        <v>0</v>
      </c>
      <c r="G343">
        <v>0</v>
      </c>
      <c r="H343">
        <v>0</v>
      </c>
    </row>
    <row r="344" spans="1:8" x14ac:dyDescent="0.25">
      <c r="A344" t="s">
        <v>44</v>
      </c>
      <c r="B344" t="s">
        <v>45</v>
      </c>
      <c r="C344" t="s">
        <v>802</v>
      </c>
      <c r="D344" t="s">
        <v>92</v>
      </c>
      <c r="E344">
        <v>0</v>
      </c>
      <c r="F344">
        <v>0</v>
      </c>
      <c r="G344">
        <v>0</v>
      </c>
      <c r="H344">
        <v>0</v>
      </c>
    </row>
    <row r="345" spans="1:8" x14ac:dyDescent="0.25">
      <c r="A345" t="s">
        <v>44</v>
      </c>
      <c r="B345" t="s">
        <v>45</v>
      </c>
      <c r="C345" t="s">
        <v>803</v>
      </c>
      <c r="D345" t="s">
        <v>92</v>
      </c>
      <c r="E345">
        <v>0</v>
      </c>
      <c r="F345">
        <v>0</v>
      </c>
      <c r="G345">
        <v>0</v>
      </c>
      <c r="H345">
        <v>0</v>
      </c>
    </row>
    <row r="346" spans="1:8" x14ac:dyDescent="0.25">
      <c r="A346" t="s">
        <v>44</v>
      </c>
      <c r="B346" t="s">
        <v>45</v>
      </c>
      <c r="C346" t="s">
        <v>804</v>
      </c>
      <c r="D346" t="s">
        <v>92</v>
      </c>
      <c r="E346">
        <v>0</v>
      </c>
      <c r="F346">
        <v>0</v>
      </c>
      <c r="G346">
        <v>0</v>
      </c>
      <c r="H346">
        <v>0</v>
      </c>
    </row>
    <row r="347" spans="1:8" x14ac:dyDescent="0.25">
      <c r="A347" t="s">
        <v>44</v>
      </c>
      <c r="B347" t="s">
        <v>45</v>
      </c>
      <c r="C347" t="s">
        <v>805</v>
      </c>
      <c r="D347" t="s">
        <v>92</v>
      </c>
      <c r="E347">
        <v>0</v>
      </c>
      <c r="F347">
        <v>0</v>
      </c>
      <c r="G347">
        <v>0</v>
      </c>
      <c r="H347">
        <v>0</v>
      </c>
    </row>
    <row r="348" spans="1:8" x14ac:dyDescent="0.25">
      <c r="A348" t="s">
        <v>44</v>
      </c>
      <c r="B348" t="s">
        <v>45</v>
      </c>
      <c r="C348" t="s">
        <v>806</v>
      </c>
      <c r="D348" t="s">
        <v>92</v>
      </c>
      <c r="E348">
        <v>0</v>
      </c>
      <c r="F348">
        <v>0</v>
      </c>
      <c r="G348">
        <v>0</v>
      </c>
      <c r="H348">
        <v>0</v>
      </c>
    </row>
    <row r="349" spans="1:8" x14ac:dyDescent="0.25">
      <c r="A349" t="s">
        <v>44</v>
      </c>
      <c r="B349" t="s">
        <v>45</v>
      </c>
      <c r="C349" t="s">
        <v>807</v>
      </c>
      <c r="D349" t="s">
        <v>92</v>
      </c>
      <c r="E349">
        <v>0</v>
      </c>
      <c r="F349">
        <v>0</v>
      </c>
      <c r="G349">
        <v>0</v>
      </c>
      <c r="H349">
        <v>0</v>
      </c>
    </row>
    <row r="350" spans="1:8" x14ac:dyDescent="0.25">
      <c r="A350" t="s">
        <v>44</v>
      </c>
      <c r="B350" t="s">
        <v>45</v>
      </c>
      <c r="C350" t="s">
        <v>808</v>
      </c>
      <c r="D350" t="s">
        <v>92</v>
      </c>
      <c r="E350">
        <v>0</v>
      </c>
      <c r="F350">
        <v>0</v>
      </c>
      <c r="G350">
        <v>0</v>
      </c>
      <c r="H350">
        <v>0</v>
      </c>
    </row>
    <row r="351" spans="1:8" x14ac:dyDescent="0.25">
      <c r="A351" t="s">
        <v>44</v>
      </c>
      <c r="B351" t="s">
        <v>45</v>
      </c>
      <c r="C351" t="s">
        <v>559</v>
      </c>
      <c r="D351" t="s">
        <v>92</v>
      </c>
      <c r="E351">
        <v>0</v>
      </c>
      <c r="F351">
        <v>0</v>
      </c>
      <c r="G351">
        <v>0</v>
      </c>
      <c r="H351">
        <v>1</v>
      </c>
    </row>
    <row r="352" spans="1:8" x14ac:dyDescent="0.25">
      <c r="A352" t="s">
        <v>44</v>
      </c>
      <c r="B352" t="s">
        <v>45</v>
      </c>
      <c r="C352" t="s">
        <v>265</v>
      </c>
      <c r="D352" t="s">
        <v>92</v>
      </c>
      <c r="E352">
        <v>0</v>
      </c>
      <c r="F352">
        <v>0</v>
      </c>
      <c r="G352">
        <v>0</v>
      </c>
      <c r="H352">
        <v>1</v>
      </c>
    </row>
    <row r="353" spans="1:8" x14ac:dyDescent="0.25">
      <c r="A353" t="s">
        <v>44</v>
      </c>
      <c r="B353" t="s">
        <v>45</v>
      </c>
      <c r="C353" t="s">
        <v>266</v>
      </c>
      <c r="D353" t="s">
        <v>92</v>
      </c>
      <c r="E353">
        <v>0</v>
      </c>
      <c r="F353">
        <v>0</v>
      </c>
      <c r="G353">
        <v>1</v>
      </c>
      <c r="H353">
        <v>1</v>
      </c>
    </row>
    <row r="354" spans="1:8" x14ac:dyDescent="0.25">
      <c r="A354" t="s">
        <v>44</v>
      </c>
      <c r="B354" t="s">
        <v>45</v>
      </c>
      <c r="C354" t="s">
        <v>557</v>
      </c>
      <c r="D354" t="s">
        <v>92</v>
      </c>
      <c r="E354">
        <v>0</v>
      </c>
      <c r="F354">
        <v>0</v>
      </c>
      <c r="G354">
        <v>0</v>
      </c>
      <c r="H354">
        <v>1</v>
      </c>
    </row>
    <row r="355" spans="1:8" x14ac:dyDescent="0.25">
      <c r="A355" t="s">
        <v>44</v>
      </c>
      <c r="B355" t="s">
        <v>45</v>
      </c>
      <c r="C355" t="s">
        <v>809</v>
      </c>
      <c r="D355" t="s">
        <v>92</v>
      </c>
      <c r="E355">
        <v>0</v>
      </c>
      <c r="F355">
        <v>0</v>
      </c>
      <c r="G355">
        <v>0</v>
      </c>
      <c r="H355">
        <v>0</v>
      </c>
    </row>
    <row r="356" spans="1:8" x14ac:dyDescent="0.25">
      <c r="A356" t="s">
        <v>44</v>
      </c>
      <c r="B356" t="s">
        <v>45</v>
      </c>
      <c r="C356" t="s">
        <v>810</v>
      </c>
      <c r="D356" t="s">
        <v>92</v>
      </c>
      <c r="E356">
        <v>0</v>
      </c>
      <c r="F356">
        <v>0</v>
      </c>
      <c r="G356">
        <v>0</v>
      </c>
      <c r="H356">
        <v>0</v>
      </c>
    </row>
    <row r="357" spans="1:8" x14ac:dyDescent="0.25">
      <c r="A357" t="s">
        <v>44</v>
      </c>
      <c r="B357" t="s">
        <v>45</v>
      </c>
      <c r="C357" t="s">
        <v>811</v>
      </c>
      <c r="D357" t="s">
        <v>92</v>
      </c>
      <c r="E357">
        <v>0</v>
      </c>
      <c r="F357">
        <v>0</v>
      </c>
      <c r="G357">
        <v>0</v>
      </c>
      <c r="H357">
        <v>0</v>
      </c>
    </row>
    <row r="358" spans="1:8" x14ac:dyDescent="0.25">
      <c r="A358" t="s">
        <v>44</v>
      </c>
      <c r="B358" t="s">
        <v>45</v>
      </c>
      <c r="C358" t="s">
        <v>812</v>
      </c>
      <c r="D358" t="s">
        <v>92</v>
      </c>
      <c r="E358">
        <v>0</v>
      </c>
      <c r="F358">
        <v>0</v>
      </c>
      <c r="G358">
        <v>0</v>
      </c>
      <c r="H358">
        <v>0</v>
      </c>
    </row>
    <row r="359" spans="1:8" x14ac:dyDescent="0.25">
      <c r="A359" t="s">
        <v>44</v>
      </c>
      <c r="B359" t="s">
        <v>45</v>
      </c>
      <c r="C359" t="s">
        <v>813</v>
      </c>
      <c r="D359" t="s">
        <v>92</v>
      </c>
      <c r="E359">
        <v>0</v>
      </c>
      <c r="F359">
        <v>0</v>
      </c>
      <c r="G359">
        <v>0</v>
      </c>
      <c r="H359">
        <v>0</v>
      </c>
    </row>
    <row r="360" spans="1:8" x14ac:dyDescent="0.25">
      <c r="A360" t="s">
        <v>44</v>
      </c>
      <c r="B360" t="s">
        <v>45</v>
      </c>
      <c r="C360" t="s">
        <v>814</v>
      </c>
      <c r="D360" t="s">
        <v>92</v>
      </c>
      <c r="E360">
        <v>0</v>
      </c>
      <c r="F360">
        <v>0</v>
      </c>
      <c r="G360">
        <v>0</v>
      </c>
      <c r="H360">
        <v>0</v>
      </c>
    </row>
    <row r="361" spans="1:8" x14ac:dyDescent="0.25">
      <c r="A361" t="s">
        <v>44</v>
      </c>
      <c r="B361" t="s">
        <v>45</v>
      </c>
      <c r="C361" t="s">
        <v>815</v>
      </c>
      <c r="D361" t="s">
        <v>92</v>
      </c>
      <c r="E361">
        <v>0</v>
      </c>
      <c r="F361">
        <v>0</v>
      </c>
      <c r="G361">
        <v>0</v>
      </c>
      <c r="H361">
        <v>0</v>
      </c>
    </row>
    <row r="362" spans="1:8" x14ac:dyDescent="0.25">
      <c r="A362" t="s">
        <v>44</v>
      </c>
      <c r="B362" t="s">
        <v>45</v>
      </c>
      <c r="C362" t="s">
        <v>567</v>
      </c>
      <c r="D362" t="s">
        <v>92</v>
      </c>
      <c r="E362">
        <v>0</v>
      </c>
      <c r="F362">
        <v>0</v>
      </c>
      <c r="G362">
        <v>0</v>
      </c>
      <c r="H362">
        <v>1</v>
      </c>
    </row>
    <row r="363" spans="1:8" x14ac:dyDescent="0.25">
      <c r="A363" t="s">
        <v>44</v>
      </c>
      <c r="B363" t="s">
        <v>45</v>
      </c>
      <c r="C363" t="s">
        <v>816</v>
      </c>
      <c r="D363" t="s">
        <v>92</v>
      </c>
      <c r="E363">
        <v>0</v>
      </c>
      <c r="F363">
        <v>0</v>
      </c>
      <c r="G363">
        <v>0</v>
      </c>
      <c r="H363">
        <v>0</v>
      </c>
    </row>
    <row r="364" spans="1:8" x14ac:dyDescent="0.25">
      <c r="A364" t="s">
        <v>44</v>
      </c>
      <c r="B364" t="s">
        <v>45</v>
      </c>
      <c r="C364" t="s">
        <v>817</v>
      </c>
      <c r="D364" t="s">
        <v>92</v>
      </c>
      <c r="E364">
        <v>0</v>
      </c>
      <c r="F364">
        <v>0</v>
      </c>
      <c r="G364">
        <v>0</v>
      </c>
      <c r="H364">
        <v>0</v>
      </c>
    </row>
    <row r="365" spans="1:8" x14ac:dyDescent="0.25">
      <c r="A365" t="s">
        <v>44</v>
      </c>
      <c r="B365" t="s">
        <v>45</v>
      </c>
      <c r="C365" t="s">
        <v>818</v>
      </c>
      <c r="D365" t="s">
        <v>92</v>
      </c>
      <c r="E365">
        <v>0</v>
      </c>
      <c r="F365">
        <v>0</v>
      </c>
      <c r="G365">
        <v>0</v>
      </c>
      <c r="H365">
        <v>0</v>
      </c>
    </row>
    <row r="366" spans="1:8" x14ac:dyDescent="0.25">
      <c r="A366" t="s">
        <v>44</v>
      </c>
      <c r="B366" t="s">
        <v>45</v>
      </c>
      <c r="C366" t="s">
        <v>819</v>
      </c>
      <c r="D366" t="s">
        <v>92</v>
      </c>
      <c r="E366">
        <v>0</v>
      </c>
      <c r="F366">
        <v>0</v>
      </c>
      <c r="G366">
        <v>0</v>
      </c>
      <c r="H366">
        <v>0</v>
      </c>
    </row>
    <row r="367" spans="1:8" x14ac:dyDescent="0.25">
      <c r="A367" t="s">
        <v>44</v>
      </c>
      <c r="B367" t="s">
        <v>45</v>
      </c>
      <c r="C367" t="s">
        <v>538</v>
      </c>
      <c r="D367" t="s">
        <v>92</v>
      </c>
      <c r="E367">
        <v>0</v>
      </c>
      <c r="F367">
        <v>0</v>
      </c>
      <c r="G367">
        <v>0</v>
      </c>
      <c r="H367">
        <v>1</v>
      </c>
    </row>
    <row r="368" spans="1:8" x14ac:dyDescent="0.25">
      <c r="A368" t="s">
        <v>44</v>
      </c>
      <c r="B368" t="s">
        <v>45</v>
      </c>
      <c r="C368" t="s">
        <v>820</v>
      </c>
      <c r="D368" t="s">
        <v>92</v>
      </c>
      <c r="E368">
        <v>0</v>
      </c>
      <c r="F368">
        <v>0</v>
      </c>
      <c r="G368">
        <v>0</v>
      </c>
      <c r="H368">
        <v>0</v>
      </c>
    </row>
    <row r="369" spans="1:8" x14ac:dyDescent="0.25">
      <c r="A369" t="s">
        <v>44</v>
      </c>
      <c r="B369" t="s">
        <v>45</v>
      </c>
      <c r="C369" t="s">
        <v>821</v>
      </c>
      <c r="D369" t="s">
        <v>92</v>
      </c>
      <c r="E369">
        <v>0</v>
      </c>
      <c r="F369">
        <v>0</v>
      </c>
      <c r="G369">
        <v>0</v>
      </c>
      <c r="H369">
        <v>0</v>
      </c>
    </row>
    <row r="370" spans="1:8" x14ac:dyDescent="0.25">
      <c r="A370" t="s">
        <v>44</v>
      </c>
      <c r="B370" t="s">
        <v>45</v>
      </c>
      <c r="C370" t="s">
        <v>822</v>
      </c>
      <c r="D370" t="s">
        <v>92</v>
      </c>
      <c r="E370">
        <v>0</v>
      </c>
      <c r="F370">
        <v>0</v>
      </c>
      <c r="G370">
        <v>0</v>
      </c>
      <c r="H370">
        <v>0</v>
      </c>
    </row>
    <row r="371" spans="1:8" x14ac:dyDescent="0.25">
      <c r="A371" t="s">
        <v>44</v>
      </c>
      <c r="B371" t="s">
        <v>45</v>
      </c>
      <c r="C371" t="s">
        <v>823</v>
      </c>
      <c r="D371" t="s">
        <v>92</v>
      </c>
      <c r="E371">
        <v>0</v>
      </c>
      <c r="F371">
        <v>0</v>
      </c>
      <c r="G371">
        <v>0</v>
      </c>
      <c r="H371">
        <v>0</v>
      </c>
    </row>
    <row r="372" spans="1:8" x14ac:dyDescent="0.25">
      <c r="A372" t="s">
        <v>44</v>
      </c>
      <c r="B372" t="s">
        <v>45</v>
      </c>
      <c r="C372" t="s">
        <v>824</v>
      </c>
      <c r="D372" t="s">
        <v>92</v>
      </c>
      <c r="E372">
        <v>0</v>
      </c>
      <c r="F372">
        <v>0</v>
      </c>
      <c r="G372">
        <v>0</v>
      </c>
      <c r="H372">
        <v>0</v>
      </c>
    </row>
    <row r="373" spans="1:8" x14ac:dyDescent="0.25">
      <c r="A373" t="s">
        <v>44</v>
      </c>
      <c r="B373" t="s">
        <v>45</v>
      </c>
      <c r="C373" t="s">
        <v>825</v>
      </c>
      <c r="D373" t="s">
        <v>92</v>
      </c>
      <c r="E373">
        <v>0</v>
      </c>
      <c r="F373">
        <v>0</v>
      </c>
      <c r="G373">
        <v>0</v>
      </c>
      <c r="H373">
        <v>0</v>
      </c>
    </row>
    <row r="374" spans="1:8" x14ac:dyDescent="0.25">
      <c r="A374" t="s">
        <v>44</v>
      </c>
      <c r="B374" t="s">
        <v>45</v>
      </c>
      <c r="C374" t="s">
        <v>826</v>
      </c>
      <c r="D374" t="s">
        <v>92</v>
      </c>
      <c r="E374">
        <v>0</v>
      </c>
      <c r="F374">
        <v>0</v>
      </c>
      <c r="G374">
        <v>0</v>
      </c>
      <c r="H374">
        <v>0</v>
      </c>
    </row>
    <row r="375" spans="1:8" x14ac:dyDescent="0.25">
      <c r="A375" t="s">
        <v>44</v>
      </c>
      <c r="B375" t="s">
        <v>45</v>
      </c>
      <c r="C375" t="s">
        <v>827</v>
      </c>
      <c r="D375" t="s">
        <v>92</v>
      </c>
      <c r="E375">
        <v>0</v>
      </c>
      <c r="F375">
        <v>0</v>
      </c>
      <c r="G375">
        <v>0</v>
      </c>
      <c r="H375">
        <v>0</v>
      </c>
    </row>
    <row r="376" spans="1:8" x14ac:dyDescent="0.25">
      <c r="A376" t="s">
        <v>44</v>
      </c>
      <c r="B376" t="s">
        <v>45</v>
      </c>
      <c r="C376" t="s">
        <v>828</v>
      </c>
      <c r="D376" t="s">
        <v>92</v>
      </c>
      <c r="E376">
        <v>0</v>
      </c>
      <c r="F376">
        <v>0</v>
      </c>
      <c r="G376">
        <v>0</v>
      </c>
      <c r="H376">
        <v>0</v>
      </c>
    </row>
    <row r="377" spans="1:8" x14ac:dyDescent="0.25">
      <c r="A377" t="s">
        <v>44</v>
      </c>
      <c r="B377" t="s">
        <v>45</v>
      </c>
      <c r="C377" t="s">
        <v>829</v>
      </c>
      <c r="D377" t="s">
        <v>92</v>
      </c>
      <c r="E377">
        <v>0</v>
      </c>
      <c r="F377">
        <v>0</v>
      </c>
      <c r="G377">
        <v>0</v>
      </c>
      <c r="H377">
        <v>0</v>
      </c>
    </row>
    <row r="378" spans="1:8" x14ac:dyDescent="0.25">
      <c r="A378" t="s">
        <v>44</v>
      </c>
      <c r="B378" t="s">
        <v>45</v>
      </c>
      <c r="C378" t="s">
        <v>830</v>
      </c>
      <c r="D378" t="s">
        <v>92</v>
      </c>
      <c r="E378">
        <v>0</v>
      </c>
      <c r="F378">
        <v>0</v>
      </c>
      <c r="G378">
        <v>0</v>
      </c>
      <c r="H378">
        <v>0</v>
      </c>
    </row>
    <row r="379" spans="1:8" x14ac:dyDescent="0.25">
      <c r="A379" t="s">
        <v>44</v>
      </c>
      <c r="B379" t="s">
        <v>45</v>
      </c>
      <c r="C379" t="s">
        <v>831</v>
      </c>
      <c r="D379" t="s">
        <v>92</v>
      </c>
      <c r="E379">
        <v>0</v>
      </c>
      <c r="F379">
        <v>0</v>
      </c>
      <c r="G379">
        <v>0</v>
      </c>
      <c r="H379">
        <v>0</v>
      </c>
    </row>
    <row r="380" spans="1:8" x14ac:dyDescent="0.25">
      <c r="A380" t="s">
        <v>44</v>
      </c>
      <c r="B380" t="s">
        <v>45</v>
      </c>
      <c r="C380" t="s">
        <v>832</v>
      </c>
      <c r="D380" t="s">
        <v>92</v>
      </c>
      <c r="E380">
        <v>0</v>
      </c>
      <c r="F380">
        <v>0</v>
      </c>
      <c r="G380">
        <v>0</v>
      </c>
      <c r="H380">
        <v>0</v>
      </c>
    </row>
    <row r="381" spans="1:8" x14ac:dyDescent="0.25">
      <c r="A381" t="s">
        <v>44</v>
      </c>
      <c r="B381" t="s">
        <v>45</v>
      </c>
      <c r="C381" t="s">
        <v>833</v>
      </c>
      <c r="D381" t="s">
        <v>92</v>
      </c>
      <c r="E381">
        <v>0</v>
      </c>
      <c r="F381">
        <v>0</v>
      </c>
      <c r="G381">
        <v>0</v>
      </c>
      <c r="H381">
        <v>0</v>
      </c>
    </row>
    <row r="382" spans="1:8" x14ac:dyDescent="0.25">
      <c r="A382" t="s">
        <v>44</v>
      </c>
      <c r="B382" t="s">
        <v>45</v>
      </c>
      <c r="C382" t="s">
        <v>834</v>
      </c>
      <c r="D382" t="s">
        <v>92</v>
      </c>
      <c r="E382">
        <v>0</v>
      </c>
      <c r="F382">
        <v>0</v>
      </c>
      <c r="G382">
        <v>0</v>
      </c>
      <c r="H382">
        <v>0</v>
      </c>
    </row>
    <row r="383" spans="1:8" x14ac:dyDescent="0.25">
      <c r="A383" t="s">
        <v>44</v>
      </c>
      <c r="B383" t="s">
        <v>45</v>
      </c>
      <c r="C383" t="s">
        <v>835</v>
      </c>
      <c r="D383" t="s">
        <v>92</v>
      </c>
      <c r="E383">
        <v>0</v>
      </c>
      <c r="F383">
        <v>0</v>
      </c>
      <c r="G383">
        <v>0</v>
      </c>
      <c r="H383">
        <v>0</v>
      </c>
    </row>
    <row r="384" spans="1:8" x14ac:dyDescent="0.25">
      <c r="A384" t="s">
        <v>44</v>
      </c>
      <c r="B384" t="s">
        <v>45</v>
      </c>
      <c r="C384" t="s">
        <v>836</v>
      </c>
      <c r="D384" t="s">
        <v>92</v>
      </c>
      <c r="E384">
        <v>0</v>
      </c>
      <c r="F384">
        <v>0</v>
      </c>
      <c r="G384">
        <v>0</v>
      </c>
      <c r="H384">
        <v>0</v>
      </c>
    </row>
    <row r="385" spans="1:8" x14ac:dyDescent="0.25">
      <c r="A385" t="s">
        <v>44</v>
      </c>
      <c r="B385" t="s">
        <v>45</v>
      </c>
      <c r="C385" t="s">
        <v>837</v>
      </c>
      <c r="D385" t="s">
        <v>92</v>
      </c>
      <c r="E385">
        <v>0</v>
      </c>
      <c r="F385">
        <v>0</v>
      </c>
      <c r="G385">
        <v>0</v>
      </c>
      <c r="H385">
        <v>0</v>
      </c>
    </row>
    <row r="386" spans="1:8" x14ac:dyDescent="0.25">
      <c r="A386" t="s">
        <v>44</v>
      </c>
      <c r="B386" t="s">
        <v>45</v>
      </c>
      <c r="C386" t="s">
        <v>838</v>
      </c>
      <c r="D386" t="s">
        <v>92</v>
      </c>
      <c r="E386">
        <v>0</v>
      </c>
      <c r="F386">
        <v>0</v>
      </c>
      <c r="G386">
        <v>0</v>
      </c>
      <c r="H386">
        <v>0</v>
      </c>
    </row>
    <row r="387" spans="1:8" x14ac:dyDescent="0.25">
      <c r="A387" t="s">
        <v>44</v>
      </c>
      <c r="B387" t="s">
        <v>45</v>
      </c>
      <c r="C387" t="s">
        <v>839</v>
      </c>
      <c r="D387" t="s">
        <v>92</v>
      </c>
      <c r="E387">
        <v>0</v>
      </c>
      <c r="F387">
        <v>0</v>
      </c>
      <c r="G387">
        <v>0</v>
      </c>
      <c r="H387">
        <v>0</v>
      </c>
    </row>
    <row r="388" spans="1:8" x14ac:dyDescent="0.25">
      <c r="A388" t="s">
        <v>44</v>
      </c>
      <c r="B388" t="s">
        <v>45</v>
      </c>
      <c r="C388" t="s">
        <v>840</v>
      </c>
      <c r="D388" t="s">
        <v>92</v>
      </c>
      <c r="E388">
        <v>0</v>
      </c>
      <c r="F388">
        <v>0</v>
      </c>
      <c r="G388">
        <v>0</v>
      </c>
      <c r="H388">
        <v>0</v>
      </c>
    </row>
    <row r="389" spans="1:8" x14ac:dyDescent="0.25">
      <c r="A389" t="s">
        <v>44</v>
      </c>
      <c r="B389" t="s">
        <v>45</v>
      </c>
      <c r="C389" t="s">
        <v>841</v>
      </c>
      <c r="D389" t="s">
        <v>92</v>
      </c>
      <c r="E389">
        <v>0</v>
      </c>
      <c r="F389">
        <v>0</v>
      </c>
      <c r="G389">
        <v>0</v>
      </c>
      <c r="H389">
        <v>0</v>
      </c>
    </row>
    <row r="390" spans="1:8" x14ac:dyDescent="0.25">
      <c r="A390" t="s">
        <v>44</v>
      </c>
      <c r="B390" t="s">
        <v>45</v>
      </c>
      <c r="C390" t="s">
        <v>842</v>
      </c>
      <c r="D390" t="s">
        <v>92</v>
      </c>
      <c r="E390">
        <v>0</v>
      </c>
      <c r="F390">
        <v>0</v>
      </c>
      <c r="G390">
        <v>0</v>
      </c>
      <c r="H390">
        <v>0</v>
      </c>
    </row>
    <row r="391" spans="1:8" x14ac:dyDescent="0.25">
      <c r="A391" t="s">
        <v>44</v>
      </c>
      <c r="B391" t="s">
        <v>45</v>
      </c>
      <c r="C391" t="s">
        <v>843</v>
      </c>
      <c r="D391" t="s">
        <v>92</v>
      </c>
      <c r="E391">
        <v>0</v>
      </c>
      <c r="F391">
        <v>0</v>
      </c>
      <c r="G391">
        <v>0</v>
      </c>
      <c r="H391">
        <v>0</v>
      </c>
    </row>
    <row r="392" spans="1:8" x14ac:dyDescent="0.25">
      <c r="A392" t="s">
        <v>44</v>
      </c>
      <c r="B392" t="s">
        <v>45</v>
      </c>
      <c r="C392" t="s">
        <v>844</v>
      </c>
      <c r="D392" t="s">
        <v>92</v>
      </c>
      <c r="E392">
        <v>0</v>
      </c>
      <c r="F392">
        <v>0</v>
      </c>
      <c r="G392">
        <v>0</v>
      </c>
      <c r="H392">
        <v>0</v>
      </c>
    </row>
    <row r="393" spans="1:8" x14ac:dyDescent="0.25">
      <c r="A393" t="s">
        <v>44</v>
      </c>
      <c r="B393" t="s">
        <v>45</v>
      </c>
      <c r="C393" t="s">
        <v>845</v>
      </c>
      <c r="D393" t="s">
        <v>92</v>
      </c>
      <c r="E393">
        <v>0</v>
      </c>
      <c r="F393">
        <v>0</v>
      </c>
      <c r="G393">
        <v>0</v>
      </c>
      <c r="H393">
        <v>0</v>
      </c>
    </row>
    <row r="394" spans="1:8" x14ac:dyDescent="0.25">
      <c r="A394" t="s">
        <v>44</v>
      </c>
      <c r="B394" t="s">
        <v>45</v>
      </c>
      <c r="C394" t="s">
        <v>846</v>
      </c>
      <c r="D394" t="s">
        <v>92</v>
      </c>
      <c r="E394">
        <v>0</v>
      </c>
      <c r="F394">
        <v>0</v>
      </c>
      <c r="G394">
        <v>0</v>
      </c>
      <c r="H394">
        <v>0</v>
      </c>
    </row>
    <row r="395" spans="1:8" x14ac:dyDescent="0.25">
      <c r="A395" t="s">
        <v>44</v>
      </c>
      <c r="B395" t="s">
        <v>45</v>
      </c>
      <c r="C395" t="s">
        <v>847</v>
      </c>
      <c r="D395" t="s">
        <v>92</v>
      </c>
      <c r="E395">
        <v>0</v>
      </c>
      <c r="F395">
        <v>0</v>
      </c>
      <c r="G395">
        <v>0</v>
      </c>
      <c r="H395">
        <v>0</v>
      </c>
    </row>
    <row r="396" spans="1:8" x14ac:dyDescent="0.25">
      <c r="A396" t="s">
        <v>44</v>
      </c>
      <c r="B396" t="s">
        <v>45</v>
      </c>
      <c r="C396" t="s">
        <v>848</v>
      </c>
      <c r="D396" t="s">
        <v>92</v>
      </c>
      <c r="E396">
        <v>0</v>
      </c>
      <c r="F396">
        <v>0</v>
      </c>
      <c r="G396">
        <v>0</v>
      </c>
      <c r="H396">
        <v>0</v>
      </c>
    </row>
    <row r="397" spans="1:8" x14ac:dyDescent="0.25">
      <c r="A397" t="s">
        <v>44</v>
      </c>
      <c r="B397" t="s">
        <v>45</v>
      </c>
      <c r="C397" t="s">
        <v>849</v>
      </c>
      <c r="D397" t="s">
        <v>92</v>
      </c>
      <c r="E397">
        <v>0</v>
      </c>
      <c r="F397">
        <v>0</v>
      </c>
      <c r="G397">
        <v>0</v>
      </c>
      <c r="H397">
        <v>0</v>
      </c>
    </row>
    <row r="398" spans="1:8" x14ac:dyDescent="0.25">
      <c r="A398" t="s">
        <v>44</v>
      </c>
      <c r="B398" t="s">
        <v>45</v>
      </c>
      <c r="C398" t="s">
        <v>850</v>
      </c>
      <c r="D398" t="s">
        <v>92</v>
      </c>
      <c r="E398">
        <v>0</v>
      </c>
      <c r="F398">
        <v>0</v>
      </c>
      <c r="G398">
        <v>0</v>
      </c>
      <c r="H398">
        <v>0</v>
      </c>
    </row>
    <row r="399" spans="1:8" x14ac:dyDescent="0.25">
      <c r="A399" t="s">
        <v>44</v>
      </c>
      <c r="B399" t="s">
        <v>45</v>
      </c>
      <c r="C399" t="s">
        <v>851</v>
      </c>
      <c r="D399" t="s">
        <v>92</v>
      </c>
      <c r="E399">
        <v>0</v>
      </c>
      <c r="F399">
        <v>0</v>
      </c>
      <c r="G399">
        <v>0</v>
      </c>
      <c r="H399">
        <v>0</v>
      </c>
    </row>
    <row r="400" spans="1:8" x14ac:dyDescent="0.25">
      <c r="A400" t="s">
        <v>44</v>
      </c>
      <c r="B400" t="s">
        <v>45</v>
      </c>
      <c r="C400" t="s">
        <v>852</v>
      </c>
      <c r="D400" t="s">
        <v>92</v>
      </c>
      <c r="E400">
        <v>0</v>
      </c>
      <c r="F400">
        <v>0</v>
      </c>
      <c r="G400">
        <v>0</v>
      </c>
      <c r="H400">
        <v>0</v>
      </c>
    </row>
    <row r="401" spans="1:8" x14ac:dyDescent="0.25">
      <c r="A401" t="s">
        <v>44</v>
      </c>
      <c r="B401" t="s">
        <v>45</v>
      </c>
      <c r="C401" t="s">
        <v>853</v>
      </c>
      <c r="D401" t="s">
        <v>92</v>
      </c>
      <c r="E401">
        <v>0</v>
      </c>
      <c r="F401">
        <v>0</v>
      </c>
      <c r="G401">
        <v>0</v>
      </c>
      <c r="H401">
        <v>0</v>
      </c>
    </row>
    <row r="402" spans="1:8" x14ac:dyDescent="0.25">
      <c r="A402" t="s">
        <v>44</v>
      </c>
      <c r="B402" t="s">
        <v>45</v>
      </c>
      <c r="C402" t="s">
        <v>854</v>
      </c>
      <c r="D402" t="s">
        <v>92</v>
      </c>
      <c r="E402">
        <v>0</v>
      </c>
      <c r="F402">
        <v>0</v>
      </c>
      <c r="G402">
        <v>0</v>
      </c>
      <c r="H402">
        <v>0</v>
      </c>
    </row>
    <row r="403" spans="1:8" x14ac:dyDescent="0.25">
      <c r="A403" t="s">
        <v>44</v>
      </c>
      <c r="B403" t="s">
        <v>45</v>
      </c>
      <c r="C403" t="s">
        <v>855</v>
      </c>
      <c r="D403" t="s">
        <v>92</v>
      </c>
      <c r="E403">
        <v>0</v>
      </c>
      <c r="F403">
        <v>0</v>
      </c>
      <c r="G403">
        <v>0</v>
      </c>
      <c r="H403">
        <v>0</v>
      </c>
    </row>
    <row r="404" spans="1:8" x14ac:dyDescent="0.25">
      <c r="A404" t="s">
        <v>44</v>
      </c>
      <c r="B404" t="s">
        <v>45</v>
      </c>
      <c r="C404" t="s">
        <v>856</v>
      </c>
      <c r="D404" t="s">
        <v>92</v>
      </c>
      <c r="E404">
        <v>0</v>
      </c>
      <c r="F404">
        <v>0</v>
      </c>
      <c r="G404">
        <v>0</v>
      </c>
      <c r="H404">
        <v>0</v>
      </c>
    </row>
    <row r="405" spans="1:8" x14ac:dyDescent="0.25">
      <c r="A405" t="s">
        <v>44</v>
      </c>
      <c r="B405" t="s">
        <v>45</v>
      </c>
      <c r="C405" t="s">
        <v>857</v>
      </c>
      <c r="D405" t="s">
        <v>92</v>
      </c>
      <c r="E405">
        <v>0</v>
      </c>
      <c r="F405">
        <v>0</v>
      </c>
      <c r="G405">
        <v>0</v>
      </c>
      <c r="H405">
        <v>0</v>
      </c>
    </row>
    <row r="406" spans="1:8" x14ac:dyDescent="0.25">
      <c r="A406" t="s">
        <v>44</v>
      </c>
      <c r="B406" t="s">
        <v>45</v>
      </c>
      <c r="C406" t="s">
        <v>858</v>
      </c>
      <c r="D406" t="s">
        <v>92</v>
      </c>
      <c r="E406">
        <v>0</v>
      </c>
      <c r="F406">
        <v>0</v>
      </c>
      <c r="G406">
        <v>0</v>
      </c>
      <c r="H406">
        <v>0</v>
      </c>
    </row>
    <row r="407" spans="1:8" x14ac:dyDescent="0.25">
      <c r="A407" t="s">
        <v>44</v>
      </c>
      <c r="B407" t="s">
        <v>45</v>
      </c>
      <c r="C407" t="s">
        <v>859</v>
      </c>
      <c r="D407" t="s">
        <v>92</v>
      </c>
      <c r="E407">
        <v>0</v>
      </c>
      <c r="F407">
        <v>0</v>
      </c>
      <c r="G407">
        <v>0</v>
      </c>
      <c r="H407">
        <v>0</v>
      </c>
    </row>
    <row r="408" spans="1:8" x14ac:dyDescent="0.25">
      <c r="A408" t="s">
        <v>44</v>
      </c>
      <c r="B408" t="s">
        <v>45</v>
      </c>
      <c r="C408" t="s">
        <v>860</v>
      </c>
      <c r="D408" t="s">
        <v>92</v>
      </c>
      <c r="E408">
        <v>0</v>
      </c>
      <c r="F408">
        <v>0</v>
      </c>
      <c r="G408">
        <v>0</v>
      </c>
      <c r="H408">
        <v>0</v>
      </c>
    </row>
    <row r="409" spans="1:8" x14ac:dyDescent="0.25">
      <c r="A409" t="s">
        <v>44</v>
      </c>
      <c r="B409" t="s">
        <v>45</v>
      </c>
      <c r="C409" t="s">
        <v>861</v>
      </c>
      <c r="D409" t="s">
        <v>92</v>
      </c>
      <c r="E409">
        <v>0</v>
      </c>
      <c r="F409">
        <v>0</v>
      </c>
      <c r="G409">
        <v>0</v>
      </c>
      <c r="H409">
        <v>0</v>
      </c>
    </row>
    <row r="410" spans="1:8" x14ac:dyDescent="0.25">
      <c r="A410" t="s">
        <v>44</v>
      </c>
      <c r="B410" t="s">
        <v>45</v>
      </c>
      <c r="C410" t="s">
        <v>862</v>
      </c>
      <c r="D410" t="s">
        <v>92</v>
      </c>
      <c r="E410">
        <v>0</v>
      </c>
      <c r="F410">
        <v>0</v>
      </c>
      <c r="G410">
        <v>0</v>
      </c>
      <c r="H410">
        <v>0</v>
      </c>
    </row>
    <row r="411" spans="1:8" x14ac:dyDescent="0.25">
      <c r="A411" t="s">
        <v>44</v>
      </c>
      <c r="B411" t="s">
        <v>45</v>
      </c>
      <c r="C411" t="s">
        <v>863</v>
      </c>
      <c r="D411" t="s">
        <v>92</v>
      </c>
      <c r="E411">
        <v>0</v>
      </c>
      <c r="F411">
        <v>0</v>
      </c>
      <c r="G411">
        <v>0</v>
      </c>
      <c r="H411">
        <v>0</v>
      </c>
    </row>
    <row r="412" spans="1:8" x14ac:dyDescent="0.25">
      <c r="A412" t="s">
        <v>44</v>
      </c>
      <c r="B412" t="s">
        <v>45</v>
      </c>
      <c r="C412" t="s">
        <v>864</v>
      </c>
      <c r="D412" t="s">
        <v>92</v>
      </c>
      <c r="E412">
        <v>0</v>
      </c>
      <c r="F412">
        <v>0</v>
      </c>
      <c r="G412">
        <v>0</v>
      </c>
      <c r="H412">
        <v>0</v>
      </c>
    </row>
    <row r="413" spans="1:8" x14ac:dyDescent="0.25">
      <c r="A413" t="s">
        <v>44</v>
      </c>
      <c r="B413" t="s">
        <v>45</v>
      </c>
      <c r="C413" t="s">
        <v>865</v>
      </c>
      <c r="D413" t="s">
        <v>92</v>
      </c>
      <c r="E413">
        <v>0</v>
      </c>
      <c r="F413">
        <v>0</v>
      </c>
      <c r="G413">
        <v>0</v>
      </c>
      <c r="H413">
        <v>0</v>
      </c>
    </row>
    <row r="414" spans="1:8" x14ac:dyDescent="0.25">
      <c r="A414" t="s">
        <v>44</v>
      </c>
      <c r="B414" t="s">
        <v>45</v>
      </c>
      <c r="C414" t="s">
        <v>866</v>
      </c>
      <c r="D414" t="s">
        <v>92</v>
      </c>
      <c r="E414">
        <v>0</v>
      </c>
      <c r="F414">
        <v>0</v>
      </c>
      <c r="G414">
        <v>0</v>
      </c>
      <c r="H414">
        <v>0</v>
      </c>
    </row>
    <row r="415" spans="1:8" x14ac:dyDescent="0.25">
      <c r="A415" t="s">
        <v>44</v>
      </c>
      <c r="B415" t="s">
        <v>45</v>
      </c>
      <c r="C415" t="s">
        <v>867</v>
      </c>
      <c r="D415" t="s">
        <v>92</v>
      </c>
      <c r="E415">
        <v>0</v>
      </c>
      <c r="F415">
        <v>0</v>
      </c>
      <c r="G415">
        <v>0</v>
      </c>
      <c r="H415">
        <v>0</v>
      </c>
    </row>
    <row r="416" spans="1:8" x14ac:dyDescent="0.25">
      <c r="A416" t="s">
        <v>44</v>
      </c>
      <c r="B416" t="s">
        <v>45</v>
      </c>
      <c r="C416" t="s">
        <v>868</v>
      </c>
      <c r="D416" t="s">
        <v>92</v>
      </c>
      <c r="E416">
        <v>0</v>
      </c>
      <c r="F416">
        <v>0</v>
      </c>
      <c r="G416">
        <v>0</v>
      </c>
      <c r="H416">
        <v>0</v>
      </c>
    </row>
    <row r="417" spans="1:8" x14ac:dyDescent="0.25">
      <c r="A417" t="s">
        <v>44</v>
      </c>
      <c r="B417" t="s">
        <v>45</v>
      </c>
      <c r="C417" t="s">
        <v>869</v>
      </c>
      <c r="D417" t="s">
        <v>92</v>
      </c>
      <c r="E417">
        <v>0</v>
      </c>
      <c r="F417">
        <v>0</v>
      </c>
      <c r="G417">
        <v>0</v>
      </c>
      <c r="H417">
        <v>0</v>
      </c>
    </row>
    <row r="418" spans="1:8" x14ac:dyDescent="0.25">
      <c r="A418" t="s">
        <v>44</v>
      </c>
      <c r="B418" t="s">
        <v>45</v>
      </c>
      <c r="C418" t="s">
        <v>870</v>
      </c>
      <c r="D418" t="s">
        <v>92</v>
      </c>
      <c r="E418">
        <v>0</v>
      </c>
      <c r="F418">
        <v>0</v>
      </c>
      <c r="G418">
        <v>0</v>
      </c>
      <c r="H418">
        <v>0</v>
      </c>
    </row>
    <row r="419" spans="1:8" x14ac:dyDescent="0.25">
      <c r="A419" t="s">
        <v>44</v>
      </c>
      <c r="B419" t="s">
        <v>45</v>
      </c>
      <c r="C419" t="s">
        <v>871</v>
      </c>
      <c r="D419" t="s">
        <v>92</v>
      </c>
      <c r="E419">
        <v>0</v>
      </c>
      <c r="F419">
        <v>0</v>
      </c>
      <c r="G419">
        <v>0</v>
      </c>
      <c r="H419">
        <v>0</v>
      </c>
    </row>
    <row r="420" spans="1:8" x14ac:dyDescent="0.25">
      <c r="A420" t="s">
        <v>44</v>
      </c>
      <c r="B420" t="s">
        <v>45</v>
      </c>
      <c r="C420" t="s">
        <v>872</v>
      </c>
      <c r="D420" t="s">
        <v>92</v>
      </c>
      <c r="E420">
        <v>0</v>
      </c>
      <c r="F420">
        <v>0</v>
      </c>
      <c r="G420">
        <v>0</v>
      </c>
      <c r="H420">
        <v>0</v>
      </c>
    </row>
    <row r="421" spans="1:8" x14ac:dyDescent="0.25">
      <c r="A421" t="s">
        <v>44</v>
      </c>
      <c r="B421" t="s">
        <v>45</v>
      </c>
      <c r="C421" t="s">
        <v>873</v>
      </c>
      <c r="D421" t="s">
        <v>92</v>
      </c>
      <c r="E421">
        <v>0</v>
      </c>
      <c r="F421">
        <v>0</v>
      </c>
      <c r="G421">
        <v>0</v>
      </c>
      <c r="H421">
        <v>0</v>
      </c>
    </row>
    <row r="422" spans="1:8" x14ac:dyDescent="0.25">
      <c r="A422" t="s">
        <v>44</v>
      </c>
      <c r="B422" t="s">
        <v>45</v>
      </c>
      <c r="C422" t="s">
        <v>874</v>
      </c>
      <c r="D422" t="s">
        <v>92</v>
      </c>
      <c r="E422">
        <v>0</v>
      </c>
      <c r="F422">
        <v>0</v>
      </c>
      <c r="G422">
        <v>0</v>
      </c>
      <c r="H422">
        <v>0</v>
      </c>
    </row>
    <row r="423" spans="1:8" x14ac:dyDescent="0.25">
      <c r="A423" t="s">
        <v>44</v>
      </c>
      <c r="B423" t="s">
        <v>45</v>
      </c>
      <c r="C423" t="s">
        <v>875</v>
      </c>
      <c r="D423" t="s">
        <v>92</v>
      </c>
      <c r="E423">
        <v>0</v>
      </c>
      <c r="F423">
        <v>0</v>
      </c>
      <c r="G423">
        <v>0</v>
      </c>
      <c r="H423">
        <v>0</v>
      </c>
    </row>
    <row r="424" spans="1:8" x14ac:dyDescent="0.25">
      <c r="A424" t="s">
        <v>44</v>
      </c>
      <c r="B424" t="s">
        <v>45</v>
      </c>
      <c r="C424" t="s">
        <v>876</v>
      </c>
      <c r="D424" t="s">
        <v>92</v>
      </c>
      <c r="E424">
        <v>0</v>
      </c>
      <c r="F424">
        <v>0</v>
      </c>
      <c r="G424">
        <v>0</v>
      </c>
      <c r="H424">
        <v>0</v>
      </c>
    </row>
    <row r="425" spans="1:8" x14ac:dyDescent="0.25">
      <c r="A425" t="s">
        <v>44</v>
      </c>
      <c r="B425" t="s">
        <v>45</v>
      </c>
      <c r="C425" t="s">
        <v>877</v>
      </c>
      <c r="D425" t="s">
        <v>92</v>
      </c>
      <c r="E425">
        <v>0</v>
      </c>
      <c r="F425">
        <v>0</v>
      </c>
      <c r="G425">
        <v>0</v>
      </c>
      <c r="H425">
        <v>0</v>
      </c>
    </row>
    <row r="426" spans="1:8" x14ac:dyDescent="0.25">
      <c r="A426" t="s">
        <v>44</v>
      </c>
      <c r="B426" t="s">
        <v>45</v>
      </c>
      <c r="C426" t="s">
        <v>878</v>
      </c>
      <c r="D426" t="s">
        <v>92</v>
      </c>
      <c r="E426">
        <v>0</v>
      </c>
      <c r="F426">
        <v>0</v>
      </c>
      <c r="G426">
        <v>0</v>
      </c>
      <c r="H426">
        <v>0</v>
      </c>
    </row>
    <row r="427" spans="1:8" x14ac:dyDescent="0.25">
      <c r="A427" t="s">
        <v>44</v>
      </c>
      <c r="B427" t="s">
        <v>45</v>
      </c>
      <c r="C427" t="s">
        <v>879</v>
      </c>
      <c r="D427" t="s">
        <v>92</v>
      </c>
      <c r="E427">
        <v>0</v>
      </c>
      <c r="F427">
        <v>0</v>
      </c>
      <c r="G427">
        <v>0</v>
      </c>
      <c r="H427">
        <v>0</v>
      </c>
    </row>
    <row r="428" spans="1:8" x14ac:dyDescent="0.25">
      <c r="A428" t="s">
        <v>44</v>
      </c>
      <c r="B428" t="s">
        <v>45</v>
      </c>
      <c r="C428" t="s">
        <v>880</v>
      </c>
      <c r="D428" t="s">
        <v>92</v>
      </c>
      <c r="E428">
        <v>0</v>
      </c>
      <c r="F428">
        <v>0</v>
      </c>
      <c r="G428">
        <v>0</v>
      </c>
      <c r="H428">
        <v>0</v>
      </c>
    </row>
    <row r="429" spans="1:8" x14ac:dyDescent="0.25">
      <c r="A429" t="s">
        <v>44</v>
      </c>
      <c r="B429" t="s">
        <v>45</v>
      </c>
      <c r="C429" t="s">
        <v>881</v>
      </c>
      <c r="D429" t="s">
        <v>92</v>
      </c>
      <c r="E429">
        <v>0</v>
      </c>
      <c r="F429">
        <v>0</v>
      </c>
      <c r="G429">
        <v>0</v>
      </c>
      <c r="H429">
        <v>0</v>
      </c>
    </row>
    <row r="430" spans="1:8" x14ac:dyDescent="0.25">
      <c r="A430" t="s">
        <v>44</v>
      </c>
      <c r="B430" t="s">
        <v>45</v>
      </c>
      <c r="C430" t="s">
        <v>882</v>
      </c>
      <c r="D430" t="s">
        <v>92</v>
      </c>
      <c r="E430">
        <v>0</v>
      </c>
      <c r="F430">
        <v>0</v>
      </c>
      <c r="G430">
        <v>0</v>
      </c>
      <c r="H430">
        <v>0</v>
      </c>
    </row>
    <row r="431" spans="1:8" x14ac:dyDescent="0.25">
      <c r="A431" t="s">
        <v>44</v>
      </c>
      <c r="B431" t="s">
        <v>45</v>
      </c>
      <c r="C431" t="s">
        <v>883</v>
      </c>
      <c r="D431" t="s">
        <v>92</v>
      </c>
      <c r="E431">
        <v>0</v>
      </c>
      <c r="F431">
        <v>0</v>
      </c>
      <c r="G431">
        <v>0</v>
      </c>
      <c r="H431">
        <v>0</v>
      </c>
    </row>
    <row r="432" spans="1:8" x14ac:dyDescent="0.25">
      <c r="A432" t="s">
        <v>44</v>
      </c>
      <c r="B432" t="s">
        <v>45</v>
      </c>
      <c r="C432" t="s">
        <v>884</v>
      </c>
      <c r="D432" t="s">
        <v>92</v>
      </c>
      <c r="E432">
        <v>0</v>
      </c>
      <c r="F432">
        <v>0</v>
      </c>
      <c r="G432">
        <v>0</v>
      </c>
      <c r="H432">
        <v>0</v>
      </c>
    </row>
    <row r="433" spans="1:8" x14ac:dyDescent="0.25">
      <c r="A433" t="s">
        <v>44</v>
      </c>
      <c r="B433" t="s">
        <v>45</v>
      </c>
      <c r="C433" t="s">
        <v>885</v>
      </c>
      <c r="D433" t="s">
        <v>92</v>
      </c>
      <c r="E433">
        <v>0</v>
      </c>
      <c r="F433">
        <v>0</v>
      </c>
      <c r="G433">
        <v>0</v>
      </c>
      <c r="H433">
        <v>0</v>
      </c>
    </row>
    <row r="434" spans="1:8" x14ac:dyDescent="0.25">
      <c r="A434" t="s">
        <v>44</v>
      </c>
      <c r="B434" t="s">
        <v>45</v>
      </c>
      <c r="C434" t="s">
        <v>886</v>
      </c>
      <c r="D434" t="s">
        <v>92</v>
      </c>
      <c r="E434">
        <v>0</v>
      </c>
      <c r="F434">
        <v>0</v>
      </c>
      <c r="G434">
        <v>0</v>
      </c>
      <c r="H434">
        <v>0</v>
      </c>
    </row>
    <row r="435" spans="1:8" x14ac:dyDescent="0.25">
      <c r="A435" t="s">
        <v>44</v>
      </c>
      <c r="B435" t="s">
        <v>45</v>
      </c>
      <c r="C435" t="s">
        <v>887</v>
      </c>
      <c r="D435" t="s">
        <v>92</v>
      </c>
      <c r="E435">
        <v>0</v>
      </c>
      <c r="F435">
        <v>0</v>
      </c>
      <c r="G435">
        <v>0</v>
      </c>
      <c r="H435">
        <v>0</v>
      </c>
    </row>
    <row r="436" spans="1:8" x14ac:dyDescent="0.25">
      <c r="A436" t="s">
        <v>44</v>
      </c>
      <c r="B436" t="s">
        <v>45</v>
      </c>
      <c r="C436" t="s">
        <v>888</v>
      </c>
      <c r="D436" t="s">
        <v>92</v>
      </c>
      <c r="E436">
        <v>0</v>
      </c>
      <c r="F436">
        <v>0</v>
      </c>
      <c r="G436">
        <v>0</v>
      </c>
      <c r="H436">
        <v>0</v>
      </c>
    </row>
    <row r="437" spans="1:8" x14ac:dyDescent="0.25">
      <c r="A437" t="s">
        <v>44</v>
      </c>
      <c r="B437" t="s">
        <v>45</v>
      </c>
      <c r="C437" t="s">
        <v>889</v>
      </c>
      <c r="D437" t="s">
        <v>92</v>
      </c>
      <c r="E437">
        <v>0</v>
      </c>
      <c r="F437">
        <v>0</v>
      </c>
      <c r="G437">
        <v>0</v>
      </c>
      <c r="H437">
        <v>0</v>
      </c>
    </row>
    <row r="438" spans="1:8" x14ac:dyDescent="0.25">
      <c r="A438" t="s">
        <v>44</v>
      </c>
      <c r="B438" t="s">
        <v>45</v>
      </c>
      <c r="C438" t="s">
        <v>890</v>
      </c>
      <c r="D438" t="s">
        <v>92</v>
      </c>
      <c r="E438">
        <v>0</v>
      </c>
      <c r="F438">
        <v>0</v>
      </c>
      <c r="G438">
        <v>0</v>
      </c>
      <c r="H438">
        <v>0</v>
      </c>
    </row>
    <row r="439" spans="1:8" x14ac:dyDescent="0.25">
      <c r="A439" t="s">
        <v>44</v>
      </c>
      <c r="B439" t="s">
        <v>45</v>
      </c>
      <c r="C439" t="s">
        <v>891</v>
      </c>
      <c r="D439" t="s">
        <v>92</v>
      </c>
      <c r="E439">
        <v>0</v>
      </c>
      <c r="F439">
        <v>0</v>
      </c>
      <c r="G439">
        <v>0</v>
      </c>
      <c r="H439">
        <v>0</v>
      </c>
    </row>
    <row r="440" spans="1:8" x14ac:dyDescent="0.25">
      <c r="A440" t="s">
        <v>44</v>
      </c>
      <c r="B440" t="s">
        <v>45</v>
      </c>
      <c r="C440" t="s">
        <v>892</v>
      </c>
      <c r="D440" t="s">
        <v>92</v>
      </c>
      <c r="E440">
        <v>0</v>
      </c>
      <c r="F440">
        <v>0</v>
      </c>
      <c r="G440">
        <v>0</v>
      </c>
      <c r="H440">
        <v>0</v>
      </c>
    </row>
    <row r="441" spans="1:8" x14ac:dyDescent="0.25">
      <c r="A441" t="s">
        <v>44</v>
      </c>
      <c r="B441" t="s">
        <v>45</v>
      </c>
      <c r="C441" t="s">
        <v>893</v>
      </c>
      <c r="D441" t="s">
        <v>92</v>
      </c>
      <c r="E441">
        <v>0</v>
      </c>
      <c r="F441">
        <v>0</v>
      </c>
      <c r="G441">
        <v>0</v>
      </c>
      <c r="H441">
        <v>0</v>
      </c>
    </row>
    <row r="442" spans="1:8" x14ac:dyDescent="0.25">
      <c r="A442" t="s">
        <v>44</v>
      </c>
      <c r="B442" t="s">
        <v>45</v>
      </c>
      <c r="C442" t="s">
        <v>894</v>
      </c>
      <c r="D442" t="s">
        <v>92</v>
      </c>
      <c r="E442">
        <v>0</v>
      </c>
      <c r="F442">
        <v>0</v>
      </c>
      <c r="G442">
        <v>0</v>
      </c>
      <c r="H442">
        <v>0</v>
      </c>
    </row>
    <row r="443" spans="1:8" x14ac:dyDescent="0.25">
      <c r="A443" t="s">
        <v>44</v>
      </c>
      <c r="B443" t="s">
        <v>45</v>
      </c>
      <c r="C443" t="s">
        <v>895</v>
      </c>
      <c r="D443" t="s">
        <v>92</v>
      </c>
      <c r="E443">
        <v>0</v>
      </c>
      <c r="F443">
        <v>0</v>
      </c>
      <c r="G443">
        <v>0</v>
      </c>
      <c r="H443">
        <v>0</v>
      </c>
    </row>
    <row r="444" spans="1:8" x14ac:dyDescent="0.25">
      <c r="A444" t="s">
        <v>44</v>
      </c>
      <c r="B444" t="s">
        <v>45</v>
      </c>
      <c r="C444" t="s">
        <v>896</v>
      </c>
      <c r="D444" t="s">
        <v>92</v>
      </c>
      <c r="E444">
        <v>0</v>
      </c>
      <c r="F444">
        <v>0</v>
      </c>
      <c r="G444">
        <v>0</v>
      </c>
      <c r="H444">
        <v>0</v>
      </c>
    </row>
    <row r="445" spans="1:8" x14ac:dyDescent="0.25">
      <c r="A445" t="s">
        <v>44</v>
      </c>
      <c r="B445" t="s">
        <v>45</v>
      </c>
      <c r="C445" t="s">
        <v>897</v>
      </c>
      <c r="D445" t="s">
        <v>92</v>
      </c>
      <c r="E445">
        <v>0</v>
      </c>
      <c r="F445">
        <v>0</v>
      </c>
      <c r="G445">
        <v>0</v>
      </c>
      <c r="H445">
        <v>0</v>
      </c>
    </row>
    <row r="446" spans="1:8" x14ac:dyDescent="0.25">
      <c r="A446" t="s">
        <v>44</v>
      </c>
      <c r="B446" t="s">
        <v>45</v>
      </c>
      <c r="C446" t="s">
        <v>898</v>
      </c>
      <c r="D446" t="s">
        <v>92</v>
      </c>
      <c r="E446">
        <v>0</v>
      </c>
      <c r="F446">
        <v>0</v>
      </c>
      <c r="G446">
        <v>0</v>
      </c>
      <c r="H446">
        <v>0</v>
      </c>
    </row>
    <row r="447" spans="1:8" x14ac:dyDescent="0.25">
      <c r="A447" t="s">
        <v>44</v>
      </c>
      <c r="B447" t="s">
        <v>45</v>
      </c>
      <c r="C447" t="s">
        <v>899</v>
      </c>
      <c r="D447" t="s">
        <v>92</v>
      </c>
      <c r="E447">
        <v>0</v>
      </c>
      <c r="F447">
        <v>0</v>
      </c>
      <c r="G447">
        <v>0</v>
      </c>
      <c r="H447">
        <v>0</v>
      </c>
    </row>
    <row r="448" spans="1:8" x14ac:dyDescent="0.25">
      <c r="A448" t="s">
        <v>44</v>
      </c>
      <c r="B448" t="s">
        <v>45</v>
      </c>
      <c r="C448" t="s">
        <v>900</v>
      </c>
      <c r="D448" t="s">
        <v>92</v>
      </c>
      <c r="E448">
        <v>0</v>
      </c>
      <c r="F448">
        <v>0</v>
      </c>
      <c r="G448">
        <v>0</v>
      </c>
      <c r="H448">
        <v>0</v>
      </c>
    </row>
    <row r="449" spans="1:8" x14ac:dyDescent="0.25">
      <c r="A449" t="s">
        <v>44</v>
      </c>
      <c r="B449" t="s">
        <v>45</v>
      </c>
      <c r="C449" t="s">
        <v>901</v>
      </c>
      <c r="D449" t="s">
        <v>92</v>
      </c>
      <c r="E449">
        <v>0</v>
      </c>
      <c r="F449">
        <v>0</v>
      </c>
      <c r="G449">
        <v>0</v>
      </c>
      <c r="H449">
        <v>0</v>
      </c>
    </row>
    <row r="450" spans="1:8" x14ac:dyDescent="0.25">
      <c r="A450" t="s">
        <v>44</v>
      </c>
      <c r="B450" t="s">
        <v>45</v>
      </c>
      <c r="C450" t="s">
        <v>902</v>
      </c>
      <c r="D450" t="s">
        <v>92</v>
      </c>
      <c r="E450">
        <v>0</v>
      </c>
      <c r="F450">
        <v>0</v>
      </c>
      <c r="G450">
        <v>0</v>
      </c>
      <c r="H450">
        <v>0</v>
      </c>
    </row>
    <row r="451" spans="1:8" x14ac:dyDescent="0.25">
      <c r="A451" t="s">
        <v>44</v>
      </c>
      <c r="B451" t="s">
        <v>45</v>
      </c>
      <c r="C451" t="s">
        <v>903</v>
      </c>
      <c r="D451" t="s">
        <v>92</v>
      </c>
      <c r="E451">
        <v>0</v>
      </c>
      <c r="F451">
        <v>0</v>
      </c>
      <c r="G451">
        <v>0</v>
      </c>
      <c r="H451">
        <v>0</v>
      </c>
    </row>
    <row r="452" spans="1:8" x14ac:dyDescent="0.25">
      <c r="A452" t="s">
        <v>44</v>
      </c>
      <c r="B452" t="s">
        <v>45</v>
      </c>
      <c r="C452" t="s">
        <v>904</v>
      </c>
      <c r="D452" t="s">
        <v>92</v>
      </c>
      <c r="E452">
        <v>0</v>
      </c>
      <c r="F452">
        <v>0</v>
      </c>
      <c r="G452">
        <v>0</v>
      </c>
      <c r="H452">
        <v>0</v>
      </c>
    </row>
    <row r="453" spans="1:8" x14ac:dyDescent="0.25">
      <c r="A453" t="s">
        <v>44</v>
      </c>
      <c r="B453" t="s">
        <v>45</v>
      </c>
      <c r="C453" t="s">
        <v>905</v>
      </c>
      <c r="D453" t="s">
        <v>92</v>
      </c>
      <c r="E453">
        <v>0</v>
      </c>
      <c r="F453">
        <v>0</v>
      </c>
      <c r="G453">
        <v>0</v>
      </c>
      <c r="H453">
        <v>0</v>
      </c>
    </row>
    <row r="454" spans="1:8" x14ac:dyDescent="0.25">
      <c r="A454" t="s">
        <v>44</v>
      </c>
      <c r="B454" t="s">
        <v>45</v>
      </c>
      <c r="C454" t="s">
        <v>906</v>
      </c>
      <c r="D454" t="s">
        <v>92</v>
      </c>
      <c r="E454">
        <v>0</v>
      </c>
      <c r="F454">
        <v>0</v>
      </c>
      <c r="G454">
        <v>0</v>
      </c>
      <c r="H454">
        <v>0</v>
      </c>
    </row>
    <row r="455" spans="1:8" x14ac:dyDescent="0.25">
      <c r="A455" t="s">
        <v>44</v>
      </c>
      <c r="B455" t="s">
        <v>45</v>
      </c>
      <c r="C455" t="s">
        <v>907</v>
      </c>
      <c r="D455" t="s">
        <v>92</v>
      </c>
      <c r="E455">
        <v>0</v>
      </c>
      <c r="F455">
        <v>0</v>
      </c>
      <c r="G455">
        <v>0</v>
      </c>
      <c r="H455">
        <v>0</v>
      </c>
    </row>
    <row r="456" spans="1:8" x14ac:dyDescent="0.25">
      <c r="A456" t="s">
        <v>44</v>
      </c>
      <c r="B456" t="s">
        <v>45</v>
      </c>
      <c r="C456" t="s">
        <v>908</v>
      </c>
      <c r="D456" t="s">
        <v>92</v>
      </c>
      <c r="E456">
        <v>0</v>
      </c>
      <c r="F456">
        <v>0</v>
      </c>
      <c r="G456">
        <v>0</v>
      </c>
      <c r="H456">
        <v>0</v>
      </c>
    </row>
    <row r="457" spans="1:8" x14ac:dyDescent="0.25">
      <c r="A457" t="s">
        <v>44</v>
      </c>
      <c r="B457" t="s">
        <v>45</v>
      </c>
      <c r="C457" t="s">
        <v>909</v>
      </c>
      <c r="D457" t="s">
        <v>92</v>
      </c>
      <c r="E457">
        <v>0</v>
      </c>
      <c r="F457">
        <v>0</v>
      </c>
      <c r="G457">
        <v>0</v>
      </c>
      <c r="H457">
        <v>0</v>
      </c>
    </row>
    <row r="458" spans="1:8" x14ac:dyDescent="0.25">
      <c r="A458" t="s">
        <v>44</v>
      </c>
      <c r="B458" t="s">
        <v>45</v>
      </c>
      <c r="C458" t="s">
        <v>910</v>
      </c>
      <c r="D458" t="s">
        <v>92</v>
      </c>
      <c r="E458">
        <v>0</v>
      </c>
      <c r="F458">
        <v>0</v>
      </c>
      <c r="G458">
        <v>0</v>
      </c>
      <c r="H458">
        <v>0</v>
      </c>
    </row>
    <row r="459" spans="1:8" x14ac:dyDescent="0.25">
      <c r="A459" t="s">
        <v>44</v>
      </c>
      <c r="B459" t="s">
        <v>45</v>
      </c>
      <c r="C459" t="s">
        <v>911</v>
      </c>
      <c r="D459" t="s">
        <v>92</v>
      </c>
      <c r="E459">
        <v>0</v>
      </c>
      <c r="F459">
        <v>0</v>
      </c>
      <c r="G459">
        <v>0</v>
      </c>
      <c r="H459">
        <v>0</v>
      </c>
    </row>
    <row r="460" spans="1:8" x14ac:dyDescent="0.25">
      <c r="A460" t="s">
        <v>44</v>
      </c>
      <c r="B460" t="s">
        <v>45</v>
      </c>
      <c r="C460" t="s">
        <v>912</v>
      </c>
      <c r="D460" t="s">
        <v>92</v>
      </c>
      <c r="E460">
        <v>0</v>
      </c>
      <c r="F460">
        <v>0</v>
      </c>
      <c r="G460">
        <v>0</v>
      </c>
      <c r="H460">
        <v>0</v>
      </c>
    </row>
    <row r="461" spans="1:8" x14ac:dyDescent="0.25">
      <c r="A461" t="s">
        <v>44</v>
      </c>
      <c r="B461" t="s">
        <v>45</v>
      </c>
      <c r="C461" t="s">
        <v>913</v>
      </c>
      <c r="D461" t="s">
        <v>92</v>
      </c>
      <c r="E461">
        <v>0</v>
      </c>
      <c r="F461">
        <v>0</v>
      </c>
      <c r="G461">
        <v>0</v>
      </c>
      <c r="H461">
        <v>0</v>
      </c>
    </row>
    <row r="462" spans="1:8" x14ac:dyDescent="0.25">
      <c r="A462" t="s">
        <v>44</v>
      </c>
      <c r="B462" t="s">
        <v>45</v>
      </c>
      <c r="C462" t="s">
        <v>914</v>
      </c>
      <c r="D462" t="s">
        <v>92</v>
      </c>
      <c r="E462">
        <v>0</v>
      </c>
      <c r="F462">
        <v>0</v>
      </c>
      <c r="G462">
        <v>0</v>
      </c>
      <c r="H462">
        <v>0</v>
      </c>
    </row>
    <row r="463" spans="1:8" x14ac:dyDescent="0.25">
      <c r="A463" t="s">
        <v>44</v>
      </c>
      <c r="B463" t="s">
        <v>45</v>
      </c>
      <c r="C463" t="s">
        <v>915</v>
      </c>
      <c r="D463" t="s">
        <v>92</v>
      </c>
      <c r="E463">
        <v>0</v>
      </c>
      <c r="F463">
        <v>0</v>
      </c>
      <c r="G463">
        <v>0</v>
      </c>
      <c r="H463">
        <v>0</v>
      </c>
    </row>
    <row r="464" spans="1:8" x14ac:dyDescent="0.25">
      <c r="A464" t="s">
        <v>44</v>
      </c>
      <c r="B464" t="s">
        <v>45</v>
      </c>
      <c r="C464" t="s">
        <v>916</v>
      </c>
      <c r="D464" t="s">
        <v>92</v>
      </c>
      <c r="E464">
        <v>0</v>
      </c>
      <c r="F464">
        <v>0</v>
      </c>
      <c r="G464">
        <v>0</v>
      </c>
      <c r="H464">
        <v>0</v>
      </c>
    </row>
    <row r="465" spans="1:8" x14ac:dyDescent="0.25">
      <c r="A465" t="s">
        <v>44</v>
      </c>
      <c r="B465" t="s">
        <v>45</v>
      </c>
      <c r="C465" t="s">
        <v>917</v>
      </c>
      <c r="D465" t="s">
        <v>92</v>
      </c>
      <c r="E465">
        <v>0</v>
      </c>
      <c r="F465">
        <v>0</v>
      </c>
      <c r="G465">
        <v>0</v>
      </c>
      <c r="H465">
        <v>0</v>
      </c>
    </row>
    <row r="466" spans="1:8" x14ac:dyDescent="0.25">
      <c r="A466" t="s">
        <v>44</v>
      </c>
      <c r="B466" t="s">
        <v>45</v>
      </c>
      <c r="C466" t="s">
        <v>918</v>
      </c>
      <c r="D466" t="s">
        <v>92</v>
      </c>
      <c r="E466">
        <v>0</v>
      </c>
      <c r="F466">
        <v>0</v>
      </c>
      <c r="G466">
        <v>0</v>
      </c>
      <c r="H466">
        <v>0</v>
      </c>
    </row>
    <row r="467" spans="1:8" x14ac:dyDescent="0.25">
      <c r="A467" t="s">
        <v>44</v>
      </c>
      <c r="B467" t="s">
        <v>45</v>
      </c>
      <c r="C467" t="s">
        <v>919</v>
      </c>
      <c r="D467" t="s">
        <v>92</v>
      </c>
      <c r="E467">
        <v>0</v>
      </c>
      <c r="F467">
        <v>0</v>
      </c>
      <c r="G467">
        <v>0</v>
      </c>
      <c r="H467">
        <v>0</v>
      </c>
    </row>
    <row r="468" spans="1:8" x14ac:dyDescent="0.25">
      <c r="A468" t="s">
        <v>44</v>
      </c>
      <c r="B468" t="s">
        <v>45</v>
      </c>
      <c r="C468" t="s">
        <v>920</v>
      </c>
      <c r="D468" t="s">
        <v>92</v>
      </c>
      <c r="E468">
        <v>0</v>
      </c>
      <c r="F468">
        <v>0</v>
      </c>
      <c r="G468">
        <v>0</v>
      </c>
      <c r="H468">
        <v>0</v>
      </c>
    </row>
    <row r="469" spans="1:8" x14ac:dyDescent="0.25">
      <c r="A469" t="s">
        <v>44</v>
      </c>
      <c r="B469" t="s">
        <v>45</v>
      </c>
      <c r="C469" t="s">
        <v>921</v>
      </c>
      <c r="D469" t="s">
        <v>92</v>
      </c>
      <c r="E469">
        <v>0</v>
      </c>
      <c r="F469">
        <v>0</v>
      </c>
      <c r="G469">
        <v>0</v>
      </c>
      <c r="H469">
        <v>0</v>
      </c>
    </row>
    <row r="470" spans="1:8" x14ac:dyDescent="0.25">
      <c r="A470" t="s">
        <v>44</v>
      </c>
      <c r="B470" t="s">
        <v>45</v>
      </c>
      <c r="C470" t="s">
        <v>922</v>
      </c>
      <c r="D470" t="s">
        <v>92</v>
      </c>
      <c r="E470">
        <v>0</v>
      </c>
      <c r="F470">
        <v>0</v>
      </c>
      <c r="G470">
        <v>0</v>
      </c>
      <c r="H470">
        <v>0</v>
      </c>
    </row>
    <row r="471" spans="1:8" x14ac:dyDescent="0.25">
      <c r="A471" t="s">
        <v>44</v>
      </c>
      <c r="B471" t="s">
        <v>45</v>
      </c>
      <c r="C471" t="s">
        <v>923</v>
      </c>
      <c r="D471" t="s">
        <v>92</v>
      </c>
      <c r="E471">
        <v>0</v>
      </c>
      <c r="F471">
        <v>0</v>
      </c>
      <c r="G471">
        <v>0</v>
      </c>
      <c r="H471">
        <v>0</v>
      </c>
    </row>
    <row r="472" spans="1:8" x14ac:dyDescent="0.25">
      <c r="A472" t="s">
        <v>44</v>
      </c>
      <c r="B472" t="s">
        <v>45</v>
      </c>
      <c r="C472" t="s">
        <v>924</v>
      </c>
      <c r="D472" t="s">
        <v>92</v>
      </c>
      <c r="E472">
        <v>0</v>
      </c>
      <c r="F472">
        <v>0</v>
      </c>
      <c r="G472">
        <v>0</v>
      </c>
      <c r="H472">
        <v>0</v>
      </c>
    </row>
    <row r="473" spans="1:8" x14ac:dyDescent="0.25">
      <c r="A473" t="s">
        <v>44</v>
      </c>
      <c r="B473" t="s">
        <v>45</v>
      </c>
      <c r="C473" t="s">
        <v>925</v>
      </c>
      <c r="D473" t="s">
        <v>92</v>
      </c>
      <c r="E473">
        <v>0</v>
      </c>
      <c r="F473">
        <v>0</v>
      </c>
      <c r="G473">
        <v>0</v>
      </c>
      <c r="H473">
        <v>0</v>
      </c>
    </row>
    <row r="474" spans="1:8" x14ac:dyDescent="0.25">
      <c r="A474" t="s">
        <v>44</v>
      </c>
      <c r="B474" t="s">
        <v>45</v>
      </c>
      <c r="C474" t="s">
        <v>926</v>
      </c>
      <c r="D474" t="s">
        <v>92</v>
      </c>
      <c r="E474">
        <v>0</v>
      </c>
      <c r="F474">
        <v>0</v>
      </c>
      <c r="G474">
        <v>0</v>
      </c>
      <c r="H474">
        <v>0</v>
      </c>
    </row>
    <row r="475" spans="1:8" x14ac:dyDescent="0.25">
      <c r="A475" t="s">
        <v>44</v>
      </c>
      <c r="B475" t="s">
        <v>45</v>
      </c>
      <c r="C475" t="s">
        <v>927</v>
      </c>
      <c r="D475" t="s">
        <v>92</v>
      </c>
      <c r="E475">
        <v>0</v>
      </c>
      <c r="F475">
        <v>0</v>
      </c>
      <c r="G475">
        <v>0</v>
      </c>
      <c r="H475">
        <v>0</v>
      </c>
    </row>
    <row r="476" spans="1:8" x14ac:dyDescent="0.25">
      <c r="A476" t="s">
        <v>44</v>
      </c>
      <c r="B476" t="s">
        <v>45</v>
      </c>
      <c r="C476" t="s">
        <v>928</v>
      </c>
      <c r="D476" t="s">
        <v>92</v>
      </c>
      <c r="E476">
        <v>0</v>
      </c>
      <c r="F476">
        <v>0</v>
      </c>
      <c r="G476">
        <v>0</v>
      </c>
      <c r="H476">
        <v>0</v>
      </c>
    </row>
    <row r="477" spans="1:8" x14ac:dyDescent="0.25">
      <c r="A477" t="s">
        <v>44</v>
      </c>
      <c r="B477" t="s">
        <v>45</v>
      </c>
      <c r="C477" t="s">
        <v>929</v>
      </c>
      <c r="D477" t="s">
        <v>92</v>
      </c>
      <c r="E477">
        <v>0</v>
      </c>
      <c r="F477">
        <v>0</v>
      </c>
      <c r="G477">
        <v>0</v>
      </c>
      <c r="H477">
        <v>0</v>
      </c>
    </row>
    <row r="478" spans="1:8" x14ac:dyDescent="0.25">
      <c r="A478" t="s">
        <v>44</v>
      </c>
      <c r="B478" t="s">
        <v>45</v>
      </c>
      <c r="C478" t="s">
        <v>930</v>
      </c>
      <c r="D478" t="s">
        <v>92</v>
      </c>
      <c r="E478">
        <v>0</v>
      </c>
      <c r="F478">
        <v>0</v>
      </c>
      <c r="G478">
        <v>0</v>
      </c>
      <c r="H478">
        <v>0</v>
      </c>
    </row>
    <row r="479" spans="1:8" x14ac:dyDescent="0.25">
      <c r="A479" t="s">
        <v>44</v>
      </c>
      <c r="B479" t="s">
        <v>45</v>
      </c>
      <c r="C479" t="s">
        <v>931</v>
      </c>
      <c r="D479" t="s">
        <v>92</v>
      </c>
      <c r="E479">
        <v>0</v>
      </c>
      <c r="F479">
        <v>0</v>
      </c>
      <c r="G479">
        <v>0</v>
      </c>
      <c r="H479">
        <v>0</v>
      </c>
    </row>
    <row r="480" spans="1:8" x14ac:dyDescent="0.25">
      <c r="A480" t="s">
        <v>44</v>
      </c>
      <c r="B480" t="s">
        <v>45</v>
      </c>
      <c r="C480" t="s">
        <v>932</v>
      </c>
      <c r="D480" t="s">
        <v>92</v>
      </c>
      <c r="E480">
        <v>0</v>
      </c>
      <c r="F480">
        <v>0</v>
      </c>
      <c r="G480">
        <v>0</v>
      </c>
      <c r="H480">
        <v>0</v>
      </c>
    </row>
    <row r="481" spans="1:8" x14ac:dyDescent="0.25">
      <c r="A481" t="s">
        <v>44</v>
      </c>
      <c r="B481" t="s">
        <v>45</v>
      </c>
      <c r="C481" t="s">
        <v>933</v>
      </c>
      <c r="D481" t="s">
        <v>92</v>
      </c>
      <c r="E481">
        <v>0</v>
      </c>
      <c r="F481">
        <v>0</v>
      </c>
      <c r="G481">
        <v>0</v>
      </c>
      <c r="H481">
        <v>0</v>
      </c>
    </row>
    <row r="482" spans="1:8" x14ac:dyDescent="0.25">
      <c r="A482" t="s">
        <v>44</v>
      </c>
      <c r="B482" t="s">
        <v>45</v>
      </c>
      <c r="C482" t="s">
        <v>934</v>
      </c>
      <c r="D482" t="s">
        <v>92</v>
      </c>
      <c r="E482">
        <v>0</v>
      </c>
      <c r="F482">
        <v>0</v>
      </c>
      <c r="G482">
        <v>0</v>
      </c>
      <c r="H482">
        <v>0</v>
      </c>
    </row>
    <row r="483" spans="1:8" x14ac:dyDescent="0.25">
      <c r="A483" t="s">
        <v>44</v>
      </c>
      <c r="B483" t="s">
        <v>45</v>
      </c>
      <c r="C483" t="s">
        <v>935</v>
      </c>
      <c r="D483" t="s">
        <v>92</v>
      </c>
      <c r="E483">
        <v>0</v>
      </c>
      <c r="F483">
        <v>0</v>
      </c>
      <c r="G483">
        <v>0</v>
      </c>
      <c r="H483">
        <v>0</v>
      </c>
    </row>
    <row r="484" spans="1:8" x14ac:dyDescent="0.25">
      <c r="A484" t="s">
        <v>44</v>
      </c>
      <c r="B484" t="s">
        <v>45</v>
      </c>
      <c r="C484" t="s">
        <v>936</v>
      </c>
      <c r="D484" t="s">
        <v>92</v>
      </c>
      <c r="E484">
        <v>0</v>
      </c>
      <c r="F484">
        <v>0</v>
      </c>
      <c r="G484">
        <v>0</v>
      </c>
      <c r="H484">
        <v>0</v>
      </c>
    </row>
    <row r="485" spans="1:8" x14ac:dyDescent="0.25">
      <c r="A485" t="s">
        <v>44</v>
      </c>
      <c r="B485" t="s">
        <v>45</v>
      </c>
      <c r="C485" t="s">
        <v>937</v>
      </c>
      <c r="D485" t="s">
        <v>92</v>
      </c>
      <c r="E485">
        <v>0</v>
      </c>
      <c r="F485">
        <v>0</v>
      </c>
      <c r="G485">
        <v>0</v>
      </c>
      <c r="H485">
        <v>0</v>
      </c>
    </row>
    <row r="486" spans="1:8" x14ac:dyDescent="0.25">
      <c r="A486" t="s">
        <v>44</v>
      </c>
      <c r="B486" t="s">
        <v>45</v>
      </c>
      <c r="C486" t="s">
        <v>938</v>
      </c>
      <c r="D486" t="s">
        <v>92</v>
      </c>
      <c r="E486">
        <v>0</v>
      </c>
      <c r="F486">
        <v>0</v>
      </c>
      <c r="G486">
        <v>0</v>
      </c>
      <c r="H486">
        <v>0</v>
      </c>
    </row>
    <row r="487" spans="1:8" x14ac:dyDescent="0.25">
      <c r="A487" t="s">
        <v>44</v>
      </c>
      <c r="B487" t="s">
        <v>45</v>
      </c>
      <c r="C487" t="s">
        <v>939</v>
      </c>
      <c r="D487" t="s">
        <v>92</v>
      </c>
      <c r="E487">
        <v>0</v>
      </c>
      <c r="F487">
        <v>0</v>
      </c>
      <c r="G487">
        <v>0</v>
      </c>
      <c r="H487">
        <v>0</v>
      </c>
    </row>
    <row r="488" spans="1:8" x14ac:dyDescent="0.25">
      <c r="A488" t="s">
        <v>44</v>
      </c>
      <c r="B488" t="s">
        <v>45</v>
      </c>
      <c r="C488" t="s">
        <v>940</v>
      </c>
      <c r="D488" t="s">
        <v>92</v>
      </c>
      <c r="E488">
        <v>0</v>
      </c>
      <c r="F488">
        <v>0</v>
      </c>
      <c r="G488">
        <v>0</v>
      </c>
      <c r="H488">
        <v>0</v>
      </c>
    </row>
    <row r="489" spans="1:8" x14ac:dyDescent="0.25">
      <c r="A489" t="s">
        <v>44</v>
      </c>
      <c r="B489" t="s">
        <v>45</v>
      </c>
      <c r="C489" t="s">
        <v>941</v>
      </c>
      <c r="D489" t="s">
        <v>92</v>
      </c>
      <c r="E489">
        <v>0</v>
      </c>
      <c r="F489">
        <v>0</v>
      </c>
      <c r="G489">
        <v>0</v>
      </c>
      <c r="H489">
        <v>0</v>
      </c>
    </row>
    <row r="490" spans="1:8" x14ac:dyDescent="0.25">
      <c r="A490" t="s">
        <v>44</v>
      </c>
      <c r="B490" t="s">
        <v>45</v>
      </c>
      <c r="C490" t="s">
        <v>942</v>
      </c>
      <c r="D490" t="s">
        <v>92</v>
      </c>
      <c r="E490">
        <v>0</v>
      </c>
      <c r="F490">
        <v>0</v>
      </c>
      <c r="G490">
        <v>0</v>
      </c>
      <c r="H490">
        <v>0</v>
      </c>
    </row>
    <row r="491" spans="1:8" x14ac:dyDescent="0.25">
      <c r="A491" t="s">
        <v>44</v>
      </c>
      <c r="B491" t="s">
        <v>45</v>
      </c>
      <c r="C491" t="s">
        <v>943</v>
      </c>
      <c r="D491" t="s">
        <v>92</v>
      </c>
      <c r="E491">
        <v>0</v>
      </c>
      <c r="F491">
        <v>0</v>
      </c>
      <c r="G491">
        <v>0</v>
      </c>
      <c r="H491">
        <v>0</v>
      </c>
    </row>
    <row r="492" spans="1:8" x14ac:dyDescent="0.25">
      <c r="A492" t="s">
        <v>44</v>
      </c>
      <c r="B492" t="s">
        <v>45</v>
      </c>
      <c r="C492" t="s">
        <v>944</v>
      </c>
      <c r="D492" t="s">
        <v>92</v>
      </c>
      <c r="E492">
        <v>0</v>
      </c>
      <c r="F492">
        <v>0</v>
      </c>
      <c r="G492">
        <v>0</v>
      </c>
      <c r="H492">
        <v>0</v>
      </c>
    </row>
    <row r="493" spans="1:8" x14ac:dyDescent="0.25">
      <c r="A493" t="s">
        <v>44</v>
      </c>
      <c r="B493" t="s">
        <v>45</v>
      </c>
      <c r="C493" t="s">
        <v>945</v>
      </c>
      <c r="D493" t="s">
        <v>92</v>
      </c>
      <c r="E493">
        <v>0</v>
      </c>
      <c r="F493">
        <v>0</v>
      </c>
      <c r="G493">
        <v>0</v>
      </c>
      <c r="H493">
        <v>0</v>
      </c>
    </row>
    <row r="494" spans="1:8" x14ac:dyDescent="0.25">
      <c r="A494" t="s">
        <v>44</v>
      </c>
      <c r="B494" t="s">
        <v>45</v>
      </c>
      <c r="C494" t="s">
        <v>946</v>
      </c>
      <c r="D494" t="s">
        <v>92</v>
      </c>
      <c r="E494">
        <v>0</v>
      </c>
      <c r="F494">
        <v>0</v>
      </c>
      <c r="G494">
        <v>0</v>
      </c>
      <c r="H494">
        <v>0</v>
      </c>
    </row>
    <row r="495" spans="1:8" x14ac:dyDescent="0.25">
      <c r="A495" t="s">
        <v>44</v>
      </c>
      <c r="B495" t="s">
        <v>45</v>
      </c>
      <c r="C495" t="s">
        <v>947</v>
      </c>
      <c r="D495" t="s">
        <v>92</v>
      </c>
      <c r="E495">
        <v>0</v>
      </c>
      <c r="F495">
        <v>0</v>
      </c>
      <c r="G495">
        <v>0</v>
      </c>
      <c r="H495">
        <v>0</v>
      </c>
    </row>
    <row r="496" spans="1:8" x14ac:dyDescent="0.25">
      <c r="A496" t="s">
        <v>44</v>
      </c>
      <c r="B496" t="s">
        <v>45</v>
      </c>
      <c r="C496" t="s">
        <v>948</v>
      </c>
      <c r="D496" t="s">
        <v>92</v>
      </c>
      <c r="E496">
        <v>0</v>
      </c>
      <c r="F496">
        <v>0</v>
      </c>
      <c r="G496">
        <v>0</v>
      </c>
      <c r="H496">
        <v>0</v>
      </c>
    </row>
    <row r="497" spans="1:8" x14ac:dyDescent="0.25">
      <c r="A497" t="s">
        <v>44</v>
      </c>
      <c r="B497" t="s">
        <v>45</v>
      </c>
      <c r="C497" t="s">
        <v>949</v>
      </c>
      <c r="D497" t="s">
        <v>92</v>
      </c>
      <c r="E497">
        <v>0</v>
      </c>
      <c r="F497">
        <v>0</v>
      </c>
      <c r="G497">
        <v>0</v>
      </c>
      <c r="H497">
        <v>0</v>
      </c>
    </row>
    <row r="498" spans="1:8" x14ac:dyDescent="0.25">
      <c r="A498" t="s">
        <v>44</v>
      </c>
      <c r="B498" t="s">
        <v>45</v>
      </c>
      <c r="C498" t="s">
        <v>950</v>
      </c>
      <c r="D498" t="s">
        <v>92</v>
      </c>
      <c r="E498">
        <v>0</v>
      </c>
      <c r="F498">
        <v>0</v>
      </c>
      <c r="G498">
        <v>0</v>
      </c>
      <c r="H498">
        <v>0</v>
      </c>
    </row>
    <row r="499" spans="1:8" x14ac:dyDescent="0.25">
      <c r="A499" t="s">
        <v>44</v>
      </c>
      <c r="B499" t="s">
        <v>45</v>
      </c>
      <c r="C499" t="s">
        <v>951</v>
      </c>
      <c r="D499" t="s">
        <v>92</v>
      </c>
      <c r="E499">
        <v>0</v>
      </c>
      <c r="F499">
        <v>0</v>
      </c>
      <c r="G499">
        <v>0</v>
      </c>
      <c r="H499">
        <v>0</v>
      </c>
    </row>
    <row r="500" spans="1:8" x14ac:dyDescent="0.25">
      <c r="A500" t="s">
        <v>44</v>
      </c>
      <c r="B500" t="s">
        <v>45</v>
      </c>
      <c r="C500" t="s">
        <v>952</v>
      </c>
      <c r="D500" t="s">
        <v>92</v>
      </c>
      <c r="E500">
        <v>0</v>
      </c>
      <c r="F500">
        <v>0</v>
      </c>
      <c r="G500">
        <v>0</v>
      </c>
      <c r="H500">
        <v>0</v>
      </c>
    </row>
    <row r="501" spans="1:8" x14ac:dyDescent="0.25">
      <c r="A501" t="s">
        <v>44</v>
      </c>
      <c r="B501" t="s">
        <v>45</v>
      </c>
      <c r="C501" t="s">
        <v>953</v>
      </c>
      <c r="D501" t="s">
        <v>92</v>
      </c>
      <c r="E501">
        <v>0</v>
      </c>
      <c r="F501">
        <v>0</v>
      </c>
      <c r="G501">
        <v>0</v>
      </c>
      <c r="H501">
        <v>0</v>
      </c>
    </row>
    <row r="502" spans="1:8" x14ac:dyDescent="0.25">
      <c r="A502" t="s">
        <v>44</v>
      </c>
      <c r="B502" t="s">
        <v>45</v>
      </c>
      <c r="C502" t="s">
        <v>954</v>
      </c>
      <c r="D502" t="s">
        <v>92</v>
      </c>
      <c r="E502">
        <v>0</v>
      </c>
      <c r="F502">
        <v>0</v>
      </c>
      <c r="G502">
        <v>0</v>
      </c>
      <c r="H502">
        <v>0</v>
      </c>
    </row>
    <row r="503" spans="1:8" x14ac:dyDescent="0.25">
      <c r="A503" t="s">
        <v>44</v>
      </c>
      <c r="B503" t="s">
        <v>45</v>
      </c>
      <c r="C503" t="s">
        <v>955</v>
      </c>
      <c r="D503" t="s">
        <v>92</v>
      </c>
      <c r="E503">
        <v>0</v>
      </c>
      <c r="F503">
        <v>0</v>
      </c>
      <c r="G503">
        <v>0</v>
      </c>
      <c r="H503">
        <v>0</v>
      </c>
    </row>
    <row r="504" spans="1:8" x14ac:dyDescent="0.25">
      <c r="A504" t="s">
        <v>44</v>
      </c>
      <c r="B504" t="s">
        <v>45</v>
      </c>
      <c r="C504" t="s">
        <v>956</v>
      </c>
      <c r="D504" t="s">
        <v>92</v>
      </c>
      <c r="E504">
        <v>0</v>
      </c>
      <c r="F504">
        <v>0</v>
      </c>
      <c r="G504">
        <v>0</v>
      </c>
      <c r="H504">
        <v>0</v>
      </c>
    </row>
    <row r="505" spans="1:8" x14ac:dyDescent="0.25">
      <c r="A505" t="s">
        <v>44</v>
      </c>
      <c r="B505" t="s">
        <v>45</v>
      </c>
      <c r="C505" t="s">
        <v>957</v>
      </c>
      <c r="D505" t="s">
        <v>92</v>
      </c>
      <c r="E505">
        <v>0</v>
      </c>
      <c r="F505">
        <v>0</v>
      </c>
      <c r="G505">
        <v>0</v>
      </c>
      <c r="H505">
        <v>0</v>
      </c>
    </row>
    <row r="506" spans="1:8" x14ac:dyDescent="0.25">
      <c r="A506" t="s">
        <v>44</v>
      </c>
      <c r="B506" t="s">
        <v>45</v>
      </c>
      <c r="C506" t="s">
        <v>958</v>
      </c>
      <c r="D506" t="s">
        <v>92</v>
      </c>
      <c r="E506">
        <v>0</v>
      </c>
      <c r="F506">
        <v>0</v>
      </c>
      <c r="G506">
        <v>0</v>
      </c>
      <c r="H506">
        <v>0</v>
      </c>
    </row>
    <row r="507" spans="1:8" x14ac:dyDescent="0.25">
      <c r="A507" t="s">
        <v>44</v>
      </c>
      <c r="B507" t="s">
        <v>45</v>
      </c>
      <c r="C507" t="s">
        <v>959</v>
      </c>
      <c r="D507" t="s">
        <v>92</v>
      </c>
      <c r="E507">
        <v>0</v>
      </c>
      <c r="F507">
        <v>0</v>
      </c>
      <c r="G507">
        <v>0</v>
      </c>
      <c r="H507">
        <v>0</v>
      </c>
    </row>
    <row r="508" spans="1:8" x14ac:dyDescent="0.25">
      <c r="A508" t="s">
        <v>44</v>
      </c>
      <c r="B508" t="s">
        <v>45</v>
      </c>
      <c r="C508" t="s">
        <v>960</v>
      </c>
      <c r="D508" t="s">
        <v>92</v>
      </c>
      <c r="E508">
        <v>0</v>
      </c>
      <c r="F508">
        <v>0</v>
      </c>
      <c r="G508">
        <v>0</v>
      </c>
      <c r="H508">
        <v>0</v>
      </c>
    </row>
    <row r="509" spans="1:8" x14ac:dyDescent="0.25">
      <c r="A509" t="s">
        <v>44</v>
      </c>
      <c r="B509" t="s">
        <v>45</v>
      </c>
      <c r="C509" t="s">
        <v>961</v>
      </c>
      <c r="D509" t="s">
        <v>92</v>
      </c>
      <c r="E509">
        <v>0</v>
      </c>
      <c r="F509">
        <v>0</v>
      </c>
      <c r="G509">
        <v>0</v>
      </c>
      <c r="H509">
        <v>0</v>
      </c>
    </row>
    <row r="510" spans="1:8" x14ac:dyDescent="0.25">
      <c r="A510" t="s">
        <v>44</v>
      </c>
      <c r="B510" t="s">
        <v>45</v>
      </c>
      <c r="C510" t="s">
        <v>962</v>
      </c>
      <c r="D510" t="s">
        <v>92</v>
      </c>
      <c r="E510">
        <v>0</v>
      </c>
      <c r="F510">
        <v>0</v>
      </c>
      <c r="G510">
        <v>0</v>
      </c>
      <c r="H510">
        <v>0</v>
      </c>
    </row>
    <row r="511" spans="1:8" x14ac:dyDescent="0.25">
      <c r="A511" t="s">
        <v>44</v>
      </c>
      <c r="B511" t="s">
        <v>45</v>
      </c>
      <c r="C511" t="s">
        <v>963</v>
      </c>
      <c r="D511" t="s">
        <v>92</v>
      </c>
      <c r="E511">
        <v>0</v>
      </c>
      <c r="F511">
        <v>0</v>
      </c>
      <c r="G511">
        <v>0</v>
      </c>
      <c r="H511">
        <v>0</v>
      </c>
    </row>
    <row r="512" spans="1:8" x14ac:dyDescent="0.25">
      <c r="A512" t="s">
        <v>44</v>
      </c>
      <c r="B512" t="s">
        <v>45</v>
      </c>
      <c r="C512" t="s">
        <v>964</v>
      </c>
      <c r="D512" t="s">
        <v>92</v>
      </c>
      <c r="E512">
        <v>0</v>
      </c>
      <c r="F512">
        <v>0</v>
      </c>
      <c r="G512">
        <v>0</v>
      </c>
      <c r="H512">
        <v>0</v>
      </c>
    </row>
    <row r="513" spans="1:8" x14ac:dyDescent="0.25">
      <c r="A513" t="s">
        <v>44</v>
      </c>
      <c r="B513" t="s">
        <v>45</v>
      </c>
      <c r="C513" t="s">
        <v>965</v>
      </c>
      <c r="D513" t="s">
        <v>92</v>
      </c>
      <c r="E513">
        <v>0</v>
      </c>
      <c r="F513">
        <v>0</v>
      </c>
      <c r="G513">
        <v>0</v>
      </c>
      <c r="H513">
        <v>0</v>
      </c>
    </row>
    <row r="514" spans="1:8" x14ac:dyDescent="0.25">
      <c r="A514" t="s">
        <v>44</v>
      </c>
      <c r="B514" t="s">
        <v>45</v>
      </c>
      <c r="C514" t="s">
        <v>966</v>
      </c>
      <c r="D514" t="s">
        <v>92</v>
      </c>
      <c r="E514">
        <v>0</v>
      </c>
      <c r="F514">
        <v>0</v>
      </c>
      <c r="G514">
        <v>0</v>
      </c>
      <c r="H514">
        <v>0</v>
      </c>
    </row>
    <row r="515" spans="1:8" x14ac:dyDescent="0.25">
      <c r="A515" t="s">
        <v>44</v>
      </c>
      <c r="B515" t="s">
        <v>45</v>
      </c>
      <c r="C515" t="s">
        <v>967</v>
      </c>
      <c r="D515" t="s">
        <v>92</v>
      </c>
      <c r="E515">
        <v>0</v>
      </c>
      <c r="F515">
        <v>0</v>
      </c>
      <c r="G515">
        <v>0</v>
      </c>
      <c r="H515">
        <v>0</v>
      </c>
    </row>
    <row r="516" spans="1:8" x14ac:dyDescent="0.25">
      <c r="A516" t="s">
        <v>44</v>
      </c>
      <c r="B516" t="s">
        <v>45</v>
      </c>
      <c r="C516" t="s">
        <v>968</v>
      </c>
      <c r="D516" t="s">
        <v>92</v>
      </c>
      <c r="E516">
        <v>0</v>
      </c>
      <c r="F516">
        <v>0</v>
      </c>
      <c r="G516">
        <v>0</v>
      </c>
      <c r="H516">
        <v>0</v>
      </c>
    </row>
    <row r="517" spans="1:8" x14ac:dyDescent="0.25">
      <c r="A517" t="s">
        <v>44</v>
      </c>
      <c r="B517" t="s">
        <v>45</v>
      </c>
      <c r="C517" t="s">
        <v>969</v>
      </c>
      <c r="D517" t="s">
        <v>92</v>
      </c>
      <c r="E517">
        <v>0</v>
      </c>
      <c r="F517">
        <v>0</v>
      </c>
      <c r="G517">
        <v>0</v>
      </c>
      <c r="H517">
        <v>0</v>
      </c>
    </row>
    <row r="518" spans="1:8" x14ac:dyDescent="0.25">
      <c r="A518" t="s">
        <v>44</v>
      </c>
      <c r="B518" t="s">
        <v>45</v>
      </c>
      <c r="C518" t="s">
        <v>422</v>
      </c>
      <c r="D518" t="s">
        <v>92</v>
      </c>
      <c r="E518">
        <v>0</v>
      </c>
      <c r="F518">
        <v>0</v>
      </c>
      <c r="G518">
        <v>0</v>
      </c>
      <c r="H518">
        <v>1</v>
      </c>
    </row>
    <row r="519" spans="1:8" x14ac:dyDescent="0.25">
      <c r="A519" t="s">
        <v>44</v>
      </c>
      <c r="B519" t="s">
        <v>45</v>
      </c>
      <c r="C519" t="s">
        <v>424</v>
      </c>
      <c r="D519" t="s">
        <v>92</v>
      </c>
      <c r="E519">
        <v>0</v>
      </c>
      <c r="F519">
        <v>0</v>
      </c>
      <c r="G519">
        <v>0</v>
      </c>
      <c r="H519">
        <v>1</v>
      </c>
    </row>
    <row r="520" spans="1:8" x14ac:dyDescent="0.25">
      <c r="A520" t="s">
        <v>44</v>
      </c>
      <c r="B520" t="s">
        <v>45</v>
      </c>
      <c r="C520" t="s">
        <v>584</v>
      </c>
      <c r="D520" t="s">
        <v>92</v>
      </c>
      <c r="E520">
        <v>0</v>
      </c>
      <c r="F520">
        <v>0</v>
      </c>
      <c r="G520">
        <v>0</v>
      </c>
      <c r="H520">
        <v>1</v>
      </c>
    </row>
    <row r="521" spans="1:8" x14ac:dyDescent="0.25">
      <c r="A521" t="s">
        <v>44</v>
      </c>
      <c r="B521" t="s">
        <v>45</v>
      </c>
      <c r="C521" t="s">
        <v>161</v>
      </c>
      <c r="D521" t="s">
        <v>92</v>
      </c>
      <c r="E521">
        <v>0</v>
      </c>
      <c r="F521">
        <v>1</v>
      </c>
      <c r="G521">
        <v>1</v>
      </c>
      <c r="H521">
        <v>1</v>
      </c>
    </row>
    <row r="522" spans="1:8" x14ac:dyDescent="0.25">
      <c r="A522" t="s">
        <v>44</v>
      </c>
      <c r="B522" t="s">
        <v>45</v>
      </c>
      <c r="C522" t="s">
        <v>590</v>
      </c>
      <c r="D522" t="s">
        <v>92</v>
      </c>
      <c r="E522">
        <v>0</v>
      </c>
      <c r="F522">
        <v>0</v>
      </c>
      <c r="G522">
        <v>1</v>
      </c>
      <c r="H522">
        <v>1</v>
      </c>
    </row>
    <row r="523" spans="1:8" x14ac:dyDescent="0.25">
      <c r="A523" t="s">
        <v>44</v>
      </c>
      <c r="B523" t="s">
        <v>45</v>
      </c>
      <c r="C523" t="s">
        <v>592</v>
      </c>
      <c r="D523" t="s">
        <v>92</v>
      </c>
      <c r="E523">
        <v>0</v>
      </c>
      <c r="F523">
        <v>0</v>
      </c>
      <c r="G523">
        <v>0</v>
      </c>
      <c r="H523">
        <v>1</v>
      </c>
    </row>
    <row r="524" spans="1:8" x14ac:dyDescent="0.25">
      <c r="A524" t="s">
        <v>44</v>
      </c>
      <c r="B524" t="s">
        <v>45</v>
      </c>
      <c r="C524" t="s">
        <v>594</v>
      </c>
      <c r="D524" t="s">
        <v>92</v>
      </c>
      <c r="E524">
        <v>0</v>
      </c>
      <c r="F524">
        <v>0</v>
      </c>
      <c r="G524">
        <v>0</v>
      </c>
      <c r="H524">
        <v>1</v>
      </c>
    </row>
    <row r="525" spans="1:8" x14ac:dyDescent="0.25">
      <c r="A525" t="s">
        <v>44</v>
      </c>
      <c r="B525" t="s">
        <v>45</v>
      </c>
      <c r="C525" t="s">
        <v>171</v>
      </c>
      <c r="D525" t="s">
        <v>92</v>
      </c>
      <c r="E525">
        <v>0</v>
      </c>
      <c r="F525">
        <v>1</v>
      </c>
      <c r="G525">
        <v>1</v>
      </c>
      <c r="H525">
        <v>1</v>
      </c>
    </row>
    <row r="526" spans="1:8" x14ac:dyDescent="0.25">
      <c r="A526" t="s">
        <v>44</v>
      </c>
      <c r="B526" t="s">
        <v>45</v>
      </c>
      <c r="C526" t="s">
        <v>597</v>
      </c>
      <c r="D526" t="s">
        <v>92</v>
      </c>
      <c r="E526">
        <v>0</v>
      </c>
      <c r="F526">
        <v>0</v>
      </c>
      <c r="G526">
        <v>1</v>
      </c>
      <c r="H526">
        <v>1</v>
      </c>
    </row>
    <row r="527" spans="1:8" x14ac:dyDescent="0.25">
      <c r="A527" t="s">
        <v>44</v>
      </c>
      <c r="B527" t="s">
        <v>45</v>
      </c>
      <c r="C527" t="s">
        <v>599</v>
      </c>
      <c r="D527" t="s">
        <v>92</v>
      </c>
      <c r="E527">
        <v>0</v>
      </c>
      <c r="F527">
        <v>0</v>
      </c>
      <c r="G527">
        <v>0</v>
      </c>
      <c r="H527">
        <v>1</v>
      </c>
    </row>
    <row r="528" spans="1:8" x14ac:dyDescent="0.25">
      <c r="A528" t="s">
        <v>44</v>
      </c>
      <c r="B528" t="s">
        <v>45</v>
      </c>
      <c r="C528" t="s">
        <v>970</v>
      </c>
      <c r="D528" t="s">
        <v>92</v>
      </c>
      <c r="E528">
        <v>0</v>
      </c>
      <c r="F528">
        <v>0</v>
      </c>
      <c r="G528">
        <v>0</v>
      </c>
      <c r="H528">
        <v>0</v>
      </c>
    </row>
    <row r="529" spans="1:8" x14ac:dyDescent="0.25">
      <c r="A529" t="s">
        <v>44</v>
      </c>
      <c r="B529" t="s">
        <v>45</v>
      </c>
      <c r="C529" t="s">
        <v>971</v>
      </c>
      <c r="D529" t="s">
        <v>92</v>
      </c>
      <c r="E529">
        <v>0</v>
      </c>
      <c r="F529">
        <v>0</v>
      </c>
      <c r="G529">
        <v>0</v>
      </c>
      <c r="H529">
        <v>0</v>
      </c>
    </row>
    <row r="530" spans="1:8" x14ac:dyDescent="0.25">
      <c r="A530" t="s">
        <v>44</v>
      </c>
      <c r="B530" t="s">
        <v>45</v>
      </c>
      <c r="C530" t="s">
        <v>972</v>
      </c>
      <c r="D530" t="s">
        <v>92</v>
      </c>
      <c r="E530">
        <v>0</v>
      </c>
      <c r="F530">
        <v>0</v>
      </c>
      <c r="G530">
        <v>0</v>
      </c>
      <c r="H530">
        <v>0</v>
      </c>
    </row>
    <row r="531" spans="1:8" x14ac:dyDescent="0.25">
      <c r="A531" t="s">
        <v>44</v>
      </c>
      <c r="B531" t="s">
        <v>45</v>
      </c>
      <c r="C531" t="s">
        <v>973</v>
      </c>
      <c r="D531" t="s">
        <v>92</v>
      </c>
      <c r="E531">
        <v>0</v>
      </c>
      <c r="F531">
        <v>0</v>
      </c>
      <c r="G531">
        <v>0</v>
      </c>
      <c r="H531">
        <v>0</v>
      </c>
    </row>
    <row r="532" spans="1:8" x14ac:dyDescent="0.25">
      <c r="A532" t="s">
        <v>44</v>
      </c>
      <c r="B532" t="s">
        <v>45</v>
      </c>
      <c r="C532" t="s">
        <v>974</v>
      </c>
      <c r="D532" t="s">
        <v>92</v>
      </c>
      <c r="E532">
        <v>0</v>
      </c>
      <c r="F532">
        <v>0</v>
      </c>
      <c r="G532">
        <v>0</v>
      </c>
      <c r="H532">
        <v>0</v>
      </c>
    </row>
    <row r="533" spans="1:8" x14ac:dyDescent="0.25">
      <c r="A533" t="s">
        <v>44</v>
      </c>
      <c r="B533" t="s">
        <v>45</v>
      </c>
      <c r="C533" t="s">
        <v>975</v>
      </c>
      <c r="D533" t="s">
        <v>92</v>
      </c>
      <c r="E533">
        <v>0</v>
      </c>
      <c r="F533">
        <v>0</v>
      </c>
      <c r="G533">
        <v>0</v>
      </c>
      <c r="H533">
        <v>0</v>
      </c>
    </row>
    <row r="534" spans="1:8" x14ac:dyDescent="0.25">
      <c r="A534" t="s">
        <v>44</v>
      </c>
      <c r="B534" t="s">
        <v>45</v>
      </c>
      <c r="C534" t="s">
        <v>976</v>
      </c>
      <c r="D534" t="s">
        <v>92</v>
      </c>
      <c r="E534">
        <v>0</v>
      </c>
      <c r="F534">
        <v>0</v>
      </c>
      <c r="G534">
        <v>0</v>
      </c>
      <c r="H534">
        <v>0</v>
      </c>
    </row>
    <row r="535" spans="1:8" x14ac:dyDescent="0.25">
      <c r="A535" t="s">
        <v>44</v>
      </c>
      <c r="B535" t="s">
        <v>45</v>
      </c>
      <c r="C535" t="s">
        <v>977</v>
      </c>
      <c r="D535" t="s">
        <v>92</v>
      </c>
      <c r="E535">
        <v>0</v>
      </c>
      <c r="F535">
        <v>0</v>
      </c>
      <c r="G535">
        <v>0</v>
      </c>
      <c r="H535">
        <v>0</v>
      </c>
    </row>
    <row r="536" spans="1:8" x14ac:dyDescent="0.25">
      <c r="A536" t="s">
        <v>44</v>
      </c>
      <c r="B536" t="s">
        <v>45</v>
      </c>
      <c r="C536" t="s">
        <v>287</v>
      </c>
      <c r="D536" t="s">
        <v>92</v>
      </c>
      <c r="E536">
        <v>0</v>
      </c>
      <c r="F536">
        <v>0</v>
      </c>
      <c r="G536">
        <v>0</v>
      </c>
      <c r="H536">
        <v>1</v>
      </c>
    </row>
    <row r="537" spans="1:8" x14ac:dyDescent="0.25">
      <c r="A537" t="s">
        <v>44</v>
      </c>
      <c r="B537" t="s">
        <v>45</v>
      </c>
      <c r="C537" t="s">
        <v>289</v>
      </c>
      <c r="D537" t="s">
        <v>92</v>
      </c>
      <c r="E537">
        <v>0</v>
      </c>
      <c r="F537">
        <v>0</v>
      </c>
      <c r="G537">
        <v>0</v>
      </c>
      <c r="H537">
        <v>1</v>
      </c>
    </row>
    <row r="538" spans="1:8" x14ac:dyDescent="0.25">
      <c r="A538" t="s">
        <v>44</v>
      </c>
      <c r="B538" t="s">
        <v>45</v>
      </c>
      <c r="C538" t="s">
        <v>294</v>
      </c>
      <c r="D538" t="s">
        <v>92</v>
      </c>
      <c r="E538">
        <v>0</v>
      </c>
      <c r="F538">
        <v>0</v>
      </c>
      <c r="G538">
        <v>0</v>
      </c>
      <c r="H538">
        <v>1</v>
      </c>
    </row>
    <row r="539" spans="1:8" x14ac:dyDescent="0.25">
      <c r="A539" t="s">
        <v>44</v>
      </c>
      <c r="B539" t="s">
        <v>45</v>
      </c>
      <c r="C539" t="s">
        <v>296</v>
      </c>
      <c r="D539" t="s">
        <v>92</v>
      </c>
      <c r="E539">
        <v>0</v>
      </c>
      <c r="F539">
        <v>0</v>
      </c>
      <c r="G539">
        <v>0</v>
      </c>
      <c r="H539">
        <v>1</v>
      </c>
    </row>
    <row r="540" spans="1:8" x14ac:dyDescent="0.25">
      <c r="A540" t="s">
        <v>44</v>
      </c>
      <c r="B540" t="s">
        <v>45</v>
      </c>
      <c r="C540" t="s">
        <v>606</v>
      </c>
      <c r="D540" t="s">
        <v>178</v>
      </c>
      <c r="E540">
        <v>0</v>
      </c>
      <c r="F540">
        <v>0</v>
      </c>
      <c r="G540">
        <v>0</v>
      </c>
      <c r="H540">
        <v>1</v>
      </c>
    </row>
    <row r="541" spans="1:8" x14ac:dyDescent="0.25">
      <c r="A541" t="s">
        <v>44</v>
      </c>
      <c r="B541" t="s">
        <v>45</v>
      </c>
      <c r="C541" t="s">
        <v>608</v>
      </c>
      <c r="D541" t="s">
        <v>178</v>
      </c>
      <c r="E541">
        <v>0</v>
      </c>
      <c r="F541">
        <v>0</v>
      </c>
      <c r="G541">
        <v>0</v>
      </c>
      <c r="H541">
        <v>1</v>
      </c>
    </row>
    <row r="542" spans="1:8" x14ac:dyDescent="0.25">
      <c r="A542" t="s">
        <v>44</v>
      </c>
      <c r="B542" t="s">
        <v>45</v>
      </c>
      <c r="C542" t="s">
        <v>304</v>
      </c>
      <c r="D542" t="s">
        <v>178</v>
      </c>
      <c r="E542">
        <v>0</v>
      </c>
      <c r="F542">
        <v>0</v>
      </c>
      <c r="G542">
        <v>0</v>
      </c>
      <c r="H542">
        <v>1</v>
      </c>
    </row>
    <row r="543" spans="1:8" x14ac:dyDescent="0.25">
      <c r="A543" t="s">
        <v>44</v>
      </c>
      <c r="B543" t="s">
        <v>45</v>
      </c>
      <c r="C543" t="s">
        <v>306</v>
      </c>
      <c r="D543" t="s">
        <v>178</v>
      </c>
      <c r="E543">
        <v>0</v>
      </c>
      <c r="F543">
        <v>0</v>
      </c>
      <c r="G543">
        <v>0</v>
      </c>
      <c r="H543">
        <v>1</v>
      </c>
    </row>
    <row r="544" spans="1:8" x14ac:dyDescent="0.25">
      <c r="A544" t="s">
        <v>44</v>
      </c>
      <c r="B544" t="s">
        <v>45</v>
      </c>
      <c r="C544" t="s">
        <v>438</v>
      </c>
      <c r="D544" t="s">
        <v>178</v>
      </c>
      <c r="E544">
        <v>0</v>
      </c>
      <c r="F544">
        <v>0</v>
      </c>
      <c r="G544">
        <v>0</v>
      </c>
      <c r="H544">
        <v>1</v>
      </c>
    </row>
    <row r="545" spans="1:8" x14ac:dyDescent="0.25">
      <c r="A545" t="s">
        <v>44</v>
      </c>
      <c r="B545" t="s">
        <v>45</v>
      </c>
      <c r="C545" t="s">
        <v>467</v>
      </c>
      <c r="D545" t="s">
        <v>178</v>
      </c>
      <c r="E545">
        <v>0</v>
      </c>
      <c r="F545">
        <v>0</v>
      </c>
      <c r="G545">
        <v>0</v>
      </c>
      <c r="H545">
        <v>1</v>
      </c>
    </row>
    <row r="546" spans="1:8" x14ac:dyDescent="0.25">
      <c r="A546" t="s">
        <v>44</v>
      </c>
      <c r="B546" t="s">
        <v>45</v>
      </c>
      <c r="C546" t="s">
        <v>182</v>
      </c>
      <c r="D546" t="s">
        <v>178</v>
      </c>
      <c r="E546">
        <v>0</v>
      </c>
      <c r="F546">
        <v>0</v>
      </c>
      <c r="G546">
        <v>0</v>
      </c>
      <c r="H546">
        <v>1</v>
      </c>
    </row>
    <row r="547" spans="1:8" x14ac:dyDescent="0.25">
      <c r="A547" t="s">
        <v>44</v>
      </c>
      <c r="B547" t="s">
        <v>45</v>
      </c>
      <c r="C547" t="s">
        <v>308</v>
      </c>
      <c r="D547" t="s">
        <v>178</v>
      </c>
      <c r="E547">
        <v>0</v>
      </c>
      <c r="F547">
        <v>0</v>
      </c>
      <c r="G547">
        <v>0</v>
      </c>
      <c r="H547">
        <v>1</v>
      </c>
    </row>
    <row r="548" spans="1:8" x14ac:dyDescent="0.25">
      <c r="A548" t="s">
        <v>44</v>
      </c>
      <c r="B548" t="s">
        <v>45</v>
      </c>
      <c r="C548" t="s">
        <v>440</v>
      </c>
      <c r="D548" t="s">
        <v>178</v>
      </c>
      <c r="E548">
        <v>0</v>
      </c>
      <c r="F548">
        <v>0</v>
      </c>
      <c r="G548">
        <v>0</v>
      </c>
      <c r="H548">
        <v>1</v>
      </c>
    </row>
    <row r="549" spans="1:8" x14ac:dyDescent="0.25">
      <c r="A549" t="s">
        <v>44</v>
      </c>
      <c r="B549" t="s">
        <v>45</v>
      </c>
      <c r="C549" t="s">
        <v>610</v>
      </c>
      <c r="D549" t="s">
        <v>178</v>
      </c>
      <c r="E549">
        <v>0</v>
      </c>
      <c r="F549">
        <v>0</v>
      </c>
      <c r="G549">
        <v>0</v>
      </c>
      <c r="H549">
        <v>1</v>
      </c>
    </row>
    <row r="550" spans="1:8" x14ac:dyDescent="0.25">
      <c r="A550" t="s">
        <v>44</v>
      </c>
      <c r="B550" t="s">
        <v>45</v>
      </c>
      <c r="C550" t="s">
        <v>612</v>
      </c>
      <c r="D550" t="s">
        <v>178</v>
      </c>
      <c r="E550">
        <v>0</v>
      </c>
      <c r="F550">
        <v>0</v>
      </c>
      <c r="G550">
        <v>0</v>
      </c>
      <c r="H550">
        <v>1</v>
      </c>
    </row>
    <row r="551" spans="1:8" x14ac:dyDescent="0.25">
      <c r="A551" t="s">
        <v>44</v>
      </c>
      <c r="B551" t="s">
        <v>45</v>
      </c>
      <c r="C551" t="s">
        <v>313</v>
      </c>
      <c r="D551" t="s">
        <v>178</v>
      </c>
      <c r="E551">
        <v>0</v>
      </c>
      <c r="F551">
        <v>0</v>
      </c>
      <c r="G551">
        <v>0</v>
      </c>
      <c r="H551">
        <v>1</v>
      </c>
    </row>
    <row r="552" spans="1:8" x14ac:dyDescent="0.25">
      <c r="A552" t="s">
        <v>44</v>
      </c>
      <c r="B552" t="s">
        <v>45</v>
      </c>
      <c r="C552" t="s">
        <v>315</v>
      </c>
      <c r="D552" t="s">
        <v>178</v>
      </c>
      <c r="E552">
        <v>0</v>
      </c>
      <c r="F552">
        <v>0</v>
      </c>
      <c r="G552">
        <v>0</v>
      </c>
      <c r="H552">
        <v>1</v>
      </c>
    </row>
    <row r="553" spans="1:8" x14ac:dyDescent="0.25">
      <c r="A553" t="s">
        <v>44</v>
      </c>
      <c r="B553" t="s">
        <v>45</v>
      </c>
      <c r="C553" t="s">
        <v>445</v>
      </c>
      <c r="D553" t="s">
        <v>178</v>
      </c>
      <c r="E553">
        <v>0</v>
      </c>
      <c r="F553">
        <v>0</v>
      </c>
      <c r="G553">
        <v>0</v>
      </c>
      <c r="H553">
        <v>1</v>
      </c>
    </row>
    <row r="554" spans="1:8" x14ac:dyDescent="0.25">
      <c r="A554" t="s">
        <v>44</v>
      </c>
      <c r="B554" t="s">
        <v>45</v>
      </c>
      <c r="C554" t="s">
        <v>469</v>
      </c>
      <c r="D554" t="s">
        <v>178</v>
      </c>
      <c r="E554">
        <v>0</v>
      </c>
      <c r="F554">
        <v>0</v>
      </c>
      <c r="G554">
        <v>0</v>
      </c>
      <c r="H554">
        <v>1</v>
      </c>
    </row>
    <row r="555" spans="1:8" x14ac:dyDescent="0.25">
      <c r="A555" t="s">
        <v>44</v>
      </c>
      <c r="B555" t="s">
        <v>45</v>
      </c>
      <c r="C555" t="s">
        <v>187</v>
      </c>
      <c r="D555" t="s">
        <v>178</v>
      </c>
      <c r="E555">
        <v>0</v>
      </c>
      <c r="F555">
        <v>0</v>
      </c>
      <c r="G555">
        <v>0</v>
      </c>
      <c r="H555">
        <v>1</v>
      </c>
    </row>
    <row r="556" spans="1:8" x14ac:dyDescent="0.25">
      <c r="A556" t="s">
        <v>44</v>
      </c>
      <c r="B556" t="s">
        <v>45</v>
      </c>
      <c r="C556" t="s">
        <v>317</v>
      </c>
      <c r="D556" t="s">
        <v>178</v>
      </c>
      <c r="E556">
        <v>0</v>
      </c>
      <c r="F556">
        <v>0</v>
      </c>
      <c r="G556">
        <v>0</v>
      </c>
      <c r="H556">
        <v>1</v>
      </c>
    </row>
    <row r="557" spans="1:8" x14ac:dyDescent="0.25">
      <c r="A557" t="s">
        <v>44</v>
      </c>
      <c r="B557" t="s">
        <v>45</v>
      </c>
      <c r="C557" t="s">
        <v>447</v>
      </c>
      <c r="D557" t="s">
        <v>178</v>
      </c>
      <c r="E557">
        <v>0</v>
      </c>
      <c r="F557">
        <v>0</v>
      </c>
      <c r="G557">
        <v>0</v>
      </c>
      <c r="H557">
        <v>1</v>
      </c>
    </row>
    <row r="558" spans="1:8" x14ac:dyDescent="0.25">
      <c r="A558" t="s">
        <v>44</v>
      </c>
      <c r="B558" t="s">
        <v>45</v>
      </c>
      <c r="C558" t="s">
        <v>978</v>
      </c>
      <c r="D558" t="s">
        <v>178</v>
      </c>
      <c r="E558">
        <v>0</v>
      </c>
      <c r="F558">
        <v>0</v>
      </c>
      <c r="G558">
        <v>0</v>
      </c>
      <c r="H558">
        <v>0</v>
      </c>
    </row>
    <row r="559" spans="1:8" x14ac:dyDescent="0.25">
      <c r="A559" t="s">
        <v>44</v>
      </c>
      <c r="B559" t="s">
        <v>45</v>
      </c>
      <c r="C559" t="s">
        <v>979</v>
      </c>
      <c r="D559" t="s">
        <v>178</v>
      </c>
      <c r="E559">
        <v>0</v>
      </c>
      <c r="F559">
        <v>0</v>
      </c>
      <c r="G559">
        <v>0</v>
      </c>
      <c r="H559">
        <v>0</v>
      </c>
    </row>
    <row r="560" spans="1:8" x14ac:dyDescent="0.25">
      <c r="A560" t="s">
        <v>44</v>
      </c>
      <c r="B560" t="s">
        <v>45</v>
      </c>
      <c r="C560" t="s">
        <v>980</v>
      </c>
      <c r="D560" t="s">
        <v>178</v>
      </c>
      <c r="E560">
        <v>0</v>
      </c>
      <c r="F560">
        <v>0</v>
      </c>
      <c r="G560">
        <v>0</v>
      </c>
      <c r="H560">
        <v>0</v>
      </c>
    </row>
    <row r="561" spans="1:8" x14ac:dyDescent="0.25">
      <c r="A561" t="s">
        <v>44</v>
      </c>
      <c r="B561" t="s">
        <v>45</v>
      </c>
      <c r="C561" t="s">
        <v>614</v>
      </c>
      <c r="D561" t="s">
        <v>178</v>
      </c>
      <c r="E561">
        <v>0</v>
      </c>
      <c r="F561">
        <v>0</v>
      </c>
      <c r="G561">
        <v>0</v>
      </c>
      <c r="H561">
        <v>1</v>
      </c>
    </row>
    <row r="562" spans="1:8" x14ac:dyDescent="0.25">
      <c r="A562" t="s">
        <v>44</v>
      </c>
      <c r="B562" t="s">
        <v>45</v>
      </c>
      <c r="C562" t="s">
        <v>616</v>
      </c>
      <c r="D562" t="s">
        <v>178</v>
      </c>
      <c r="E562">
        <v>0</v>
      </c>
      <c r="F562">
        <v>0</v>
      </c>
      <c r="G562">
        <v>0</v>
      </c>
      <c r="H562">
        <v>1</v>
      </c>
    </row>
    <row r="563" spans="1:8" x14ac:dyDescent="0.25">
      <c r="A563" t="s">
        <v>44</v>
      </c>
      <c r="B563" t="s">
        <v>45</v>
      </c>
      <c r="C563" t="s">
        <v>618</v>
      </c>
      <c r="D563" t="s">
        <v>178</v>
      </c>
      <c r="E563">
        <v>0</v>
      </c>
      <c r="F563">
        <v>0</v>
      </c>
      <c r="G563">
        <v>0</v>
      </c>
      <c r="H563">
        <v>1</v>
      </c>
    </row>
    <row r="564" spans="1:8" x14ac:dyDescent="0.25">
      <c r="A564" t="s">
        <v>44</v>
      </c>
      <c r="B564" t="s">
        <v>45</v>
      </c>
      <c r="C564" t="s">
        <v>620</v>
      </c>
      <c r="D564" t="s">
        <v>178</v>
      </c>
      <c r="E564">
        <v>0</v>
      </c>
      <c r="F564">
        <v>0</v>
      </c>
      <c r="G564">
        <v>0</v>
      </c>
      <c r="H564">
        <v>1</v>
      </c>
    </row>
    <row r="565" spans="1:8" x14ac:dyDescent="0.25">
      <c r="A565" t="s">
        <v>44</v>
      </c>
      <c r="B565" t="s">
        <v>45</v>
      </c>
      <c r="C565" t="s">
        <v>319</v>
      </c>
      <c r="D565" t="s">
        <v>178</v>
      </c>
      <c r="E565">
        <v>0</v>
      </c>
      <c r="F565">
        <v>0</v>
      </c>
      <c r="G565">
        <v>0</v>
      </c>
      <c r="H565">
        <v>1</v>
      </c>
    </row>
    <row r="566" spans="1:8" x14ac:dyDescent="0.25">
      <c r="A566" t="s">
        <v>44</v>
      </c>
      <c r="B566" t="s">
        <v>45</v>
      </c>
      <c r="C566" t="s">
        <v>321</v>
      </c>
      <c r="D566" t="s">
        <v>178</v>
      </c>
      <c r="E566">
        <v>0</v>
      </c>
      <c r="F566">
        <v>0</v>
      </c>
      <c r="G566">
        <v>0</v>
      </c>
      <c r="H566">
        <v>1</v>
      </c>
    </row>
    <row r="567" spans="1:8" x14ac:dyDescent="0.25">
      <c r="A567" t="s">
        <v>44</v>
      </c>
      <c r="B567" t="s">
        <v>45</v>
      </c>
      <c r="C567" t="s">
        <v>449</v>
      </c>
      <c r="D567" t="s">
        <v>178</v>
      </c>
      <c r="E567">
        <v>0</v>
      </c>
      <c r="F567">
        <v>0</v>
      </c>
      <c r="G567">
        <v>0</v>
      </c>
      <c r="H567">
        <v>1</v>
      </c>
    </row>
    <row r="568" spans="1:8" x14ac:dyDescent="0.25">
      <c r="A568" t="s">
        <v>44</v>
      </c>
      <c r="B568" t="s">
        <v>45</v>
      </c>
      <c r="C568" t="s">
        <v>471</v>
      </c>
      <c r="D568" t="s">
        <v>178</v>
      </c>
      <c r="E568">
        <v>0</v>
      </c>
      <c r="F568">
        <v>0</v>
      </c>
      <c r="G568">
        <v>0</v>
      </c>
      <c r="H568">
        <v>1</v>
      </c>
    </row>
    <row r="569" spans="1:8" x14ac:dyDescent="0.25">
      <c r="A569" t="s">
        <v>44</v>
      </c>
      <c r="B569" t="s">
        <v>45</v>
      </c>
      <c r="C569" t="s">
        <v>189</v>
      </c>
      <c r="D569" t="s">
        <v>178</v>
      </c>
      <c r="E569">
        <v>0</v>
      </c>
      <c r="F569">
        <v>0</v>
      </c>
      <c r="G569">
        <v>0</v>
      </c>
      <c r="H569">
        <v>1</v>
      </c>
    </row>
    <row r="570" spans="1:8" x14ac:dyDescent="0.25">
      <c r="A570" t="s">
        <v>44</v>
      </c>
      <c r="B570" t="s">
        <v>45</v>
      </c>
      <c r="C570" t="s">
        <v>323</v>
      </c>
      <c r="D570" t="s">
        <v>178</v>
      </c>
      <c r="E570">
        <v>0</v>
      </c>
      <c r="F570">
        <v>0</v>
      </c>
      <c r="G570">
        <v>0</v>
      </c>
      <c r="H570">
        <v>1</v>
      </c>
    </row>
    <row r="571" spans="1:8" x14ac:dyDescent="0.25">
      <c r="A571" t="s">
        <v>44</v>
      </c>
      <c r="B571" t="s">
        <v>45</v>
      </c>
      <c r="C571" t="s">
        <v>325</v>
      </c>
      <c r="D571" t="s">
        <v>178</v>
      </c>
      <c r="E571">
        <v>0</v>
      </c>
      <c r="F571">
        <v>0</v>
      </c>
      <c r="G571">
        <v>0</v>
      </c>
      <c r="H571">
        <v>1</v>
      </c>
    </row>
    <row r="572" spans="1:8" x14ac:dyDescent="0.25">
      <c r="A572" t="s">
        <v>44</v>
      </c>
      <c r="B572" t="s">
        <v>45</v>
      </c>
      <c r="C572" t="s">
        <v>451</v>
      </c>
      <c r="D572" t="s">
        <v>178</v>
      </c>
      <c r="E572">
        <v>0</v>
      </c>
      <c r="F572">
        <v>0</v>
      </c>
      <c r="G572">
        <v>0</v>
      </c>
      <c r="H572">
        <v>1</v>
      </c>
    </row>
    <row r="573" spans="1:8" x14ac:dyDescent="0.25">
      <c r="A573" t="s">
        <v>44</v>
      </c>
      <c r="B573" t="s">
        <v>45</v>
      </c>
      <c r="C573" t="s">
        <v>981</v>
      </c>
      <c r="D573" t="s">
        <v>178</v>
      </c>
      <c r="E573">
        <v>0</v>
      </c>
      <c r="F573">
        <v>0</v>
      </c>
      <c r="G573">
        <v>0</v>
      </c>
      <c r="H573">
        <v>0</v>
      </c>
    </row>
    <row r="574" spans="1:8" x14ac:dyDescent="0.25">
      <c r="A574" t="s">
        <v>44</v>
      </c>
      <c r="B574" t="s">
        <v>45</v>
      </c>
      <c r="C574" t="s">
        <v>982</v>
      </c>
      <c r="D574" t="s">
        <v>983</v>
      </c>
      <c r="E574">
        <v>0</v>
      </c>
      <c r="F574">
        <v>0</v>
      </c>
      <c r="G574">
        <v>0</v>
      </c>
      <c r="H574">
        <v>0</v>
      </c>
    </row>
    <row r="575" spans="1:8" x14ac:dyDescent="0.25">
      <c r="A575" t="s">
        <v>44</v>
      </c>
      <c r="B575" t="s">
        <v>45</v>
      </c>
      <c r="C575" t="s">
        <v>984</v>
      </c>
      <c r="D575" t="s">
        <v>983</v>
      </c>
      <c r="E575">
        <v>0</v>
      </c>
      <c r="F575">
        <v>0</v>
      </c>
      <c r="G575">
        <v>0</v>
      </c>
      <c r="H575">
        <v>0</v>
      </c>
    </row>
    <row r="576" spans="1:8" x14ac:dyDescent="0.25">
      <c r="A576" t="s">
        <v>44</v>
      </c>
      <c r="B576" t="s">
        <v>45</v>
      </c>
      <c r="C576" t="s">
        <v>985</v>
      </c>
      <c r="D576" t="s">
        <v>983</v>
      </c>
      <c r="E576">
        <v>0</v>
      </c>
      <c r="F576">
        <v>0</v>
      </c>
      <c r="G576">
        <v>0</v>
      </c>
      <c r="H576">
        <v>0</v>
      </c>
    </row>
    <row r="577" spans="1:8" x14ac:dyDescent="0.25">
      <c r="A577" t="s">
        <v>44</v>
      </c>
      <c r="B577" t="s">
        <v>45</v>
      </c>
      <c r="C577" t="s">
        <v>986</v>
      </c>
      <c r="D577" t="s">
        <v>983</v>
      </c>
      <c r="E577">
        <v>0</v>
      </c>
      <c r="F577">
        <v>0</v>
      </c>
      <c r="G577">
        <v>0</v>
      </c>
      <c r="H577">
        <v>0</v>
      </c>
    </row>
    <row r="578" spans="1:8" x14ac:dyDescent="0.25">
      <c r="A578" t="s">
        <v>44</v>
      </c>
      <c r="B578" t="s">
        <v>45</v>
      </c>
      <c r="C578" t="s">
        <v>987</v>
      </c>
      <c r="D578" t="s">
        <v>983</v>
      </c>
      <c r="E578">
        <v>0</v>
      </c>
      <c r="F578">
        <v>0</v>
      </c>
      <c r="G578">
        <v>0</v>
      </c>
      <c r="H578">
        <v>0</v>
      </c>
    </row>
    <row r="579" spans="1:8" x14ac:dyDescent="0.25">
      <c r="A579" t="s">
        <v>44</v>
      </c>
      <c r="B579" t="s">
        <v>45</v>
      </c>
      <c r="C579" t="s">
        <v>988</v>
      </c>
      <c r="D579" t="s">
        <v>983</v>
      </c>
      <c r="E579">
        <v>0</v>
      </c>
      <c r="F579">
        <v>0</v>
      </c>
      <c r="G579">
        <v>0</v>
      </c>
      <c r="H579">
        <v>0</v>
      </c>
    </row>
    <row r="580" spans="1:8" x14ac:dyDescent="0.25">
      <c r="A580" t="s">
        <v>44</v>
      </c>
      <c r="B580" t="s">
        <v>45</v>
      </c>
      <c r="C580" t="s">
        <v>989</v>
      </c>
      <c r="D580" t="s">
        <v>983</v>
      </c>
      <c r="E580">
        <v>0</v>
      </c>
      <c r="F580">
        <v>0</v>
      </c>
      <c r="G580">
        <v>0</v>
      </c>
      <c r="H580">
        <v>0</v>
      </c>
    </row>
    <row r="581" spans="1:8" x14ac:dyDescent="0.25">
      <c r="A581" t="s">
        <v>44</v>
      </c>
      <c r="B581" t="s">
        <v>45</v>
      </c>
      <c r="C581" t="s">
        <v>990</v>
      </c>
      <c r="D581" t="s">
        <v>983</v>
      </c>
      <c r="E581">
        <v>0</v>
      </c>
      <c r="F581">
        <v>0</v>
      </c>
      <c r="G581">
        <v>0</v>
      </c>
      <c r="H581">
        <v>0</v>
      </c>
    </row>
    <row r="582" spans="1:8" x14ac:dyDescent="0.25">
      <c r="A582" t="s">
        <v>44</v>
      </c>
      <c r="B582" t="s">
        <v>45</v>
      </c>
      <c r="C582" t="s">
        <v>991</v>
      </c>
      <c r="D582" t="s">
        <v>983</v>
      </c>
      <c r="E582">
        <v>0</v>
      </c>
      <c r="F582">
        <v>0</v>
      </c>
      <c r="G582">
        <v>0</v>
      </c>
      <c r="H582">
        <v>0</v>
      </c>
    </row>
    <row r="583" spans="1:8" x14ac:dyDescent="0.25">
      <c r="A583" t="s">
        <v>44</v>
      </c>
      <c r="B583" t="s">
        <v>45</v>
      </c>
      <c r="C583" t="s">
        <v>992</v>
      </c>
      <c r="D583" t="s">
        <v>983</v>
      </c>
      <c r="E583">
        <v>0</v>
      </c>
      <c r="F583">
        <v>0</v>
      </c>
      <c r="G583">
        <v>0</v>
      </c>
      <c r="H583">
        <v>0</v>
      </c>
    </row>
    <row r="584" spans="1:8" x14ac:dyDescent="0.25">
      <c r="A584" t="s">
        <v>44</v>
      </c>
      <c r="B584" t="s">
        <v>45</v>
      </c>
      <c r="C584" t="s">
        <v>993</v>
      </c>
      <c r="D584" t="s">
        <v>983</v>
      </c>
      <c r="E584">
        <v>0</v>
      </c>
      <c r="F584">
        <v>0</v>
      </c>
      <c r="G584">
        <v>0</v>
      </c>
      <c r="H584">
        <v>0</v>
      </c>
    </row>
    <row r="585" spans="1:8" x14ac:dyDescent="0.25">
      <c r="A585" t="s">
        <v>44</v>
      </c>
      <c r="B585" t="s">
        <v>45</v>
      </c>
      <c r="C585" t="s">
        <v>994</v>
      </c>
      <c r="D585" t="s">
        <v>983</v>
      </c>
      <c r="E585">
        <v>0</v>
      </c>
      <c r="F585">
        <v>0</v>
      </c>
      <c r="G585">
        <v>0</v>
      </c>
      <c r="H585">
        <v>0</v>
      </c>
    </row>
    <row r="586" spans="1:8" x14ac:dyDescent="0.25">
      <c r="A586" t="s">
        <v>44</v>
      </c>
      <c r="B586" t="s">
        <v>45</v>
      </c>
      <c r="C586" t="s">
        <v>995</v>
      </c>
      <c r="D586" t="s">
        <v>623</v>
      </c>
      <c r="E586">
        <v>0</v>
      </c>
      <c r="F586">
        <v>0</v>
      </c>
      <c r="G586">
        <v>0</v>
      </c>
      <c r="H586">
        <v>0</v>
      </c>
    </row>
    <row r="587" spans="1:8" x14ac:dyDescent="0.25">
      <c r="A587" t="s">
        <v>44</v>
      </c>
      <c r="B587" t="s">
        <v>45</v>
      </c>
      <c r="C587" t="s">
        <v>996</v>
      </c>
      <c r="D587" t="s">
        <v>623</v>
      </c>
      <c r="E587">
        <v>0</v>
      </c>
      <c r="F587">
        <v>0</v>
      </c>
      <c r="G587">
        <v>0</v>
      </c>
      <c r="H587">
        <v>0</v>
      </c>
    </row>
    <row r="588" spans="1:8" x14ac:dyDescent="0.25">
      <c r="A588" t="s">
        <v>44</v>
      </c>
      <c r="B588" t="s">
        <v>45</v>
      </c>
      <c r="C588" t="s">
        <v>997</v>
      </c>
      <c r="D588" t="s">
        <v>623</v>
      </c>
      <c r="E588">
        <v>0</v>
      </c>
      <c r="F588">
        <v>0</v>
      </c>
      <c r="G588">
        <v>0</v>
      </c>
      <c r="H588">
        <v>0</v>
      </c>
    </row>
    <row r="589" spans="1:8" x14ac:dyDescent="0.25">
      <c r="A589" t="s">
        <v>44</v>
      </c>
      <c r="B589" t="s">
        <v>45</v>
      </c>
      <c r="C589" t="s">
        <v>622</v>
      </c>
      <c r="D589" t="s">
        <v>623</v>
      </c>
      <c r="E589">
        <v>0</v>
      </c>
      <c r="F589">
        <v>0</v>
      </c>
      <c r="G589">
        <v>0</v>
      </c>
      <c r="H589">
        <v>1</v>
      </c>
    </row>
    <row r="590" spans="1:8" x14ac:dyDescent="0.25">
      <c r="A590" t="s">
        <v>44</v>
      </c>
      <c r="B590" t="s">
        <v>45</v>
      </c>
      <c r="C590" t="s">
        <v>625</v>
      </c>
      <c r="D590" t="s">
        <v>623</v>
      </c>
      <c r="E590">
        <v>0</v>
      </c>
      <c r="F590">
        <v>0</v>
      </c>
      <c r="G590">
        <v>0</v>
      </c>
      <c r="H590">
        <v>1</v>
      </c>
    </row>
    <row r="591" spans="1:8" x14ac:dyDescent="0.25">
      <c r="A591" t="s">
        <v>44</v>
      </c>
      <c r="B591" t="s">
        <v>45</v>
      </c>
      <c r="C591" t="s">
        <v>998</v>
      </c>
      <c r="D591" t="s">
        <v>623</v>
      </c>
      <c r="E591">
        <v>0</v>
      </c>
      <c r="F591">
        <v>0</v>
      </c>
      <c r="G591">
        <v>0</v>
      </c>
      <c r="H591">
        <v>0</v>
      </c>
    </row>
    <row r="592" spans="1:8" x14ac:dyDescent="0.25">
      <c r="A592" t="s">
        <v>44</v>
      </c>
      <c r="B592" t="s">
        <v>45</v>
      </c>
      <c r="C592" t="s">
        <v>999</v>
      </c>
      <c r="D592" t="s">
        <v>623</v>
      </c>
      <c r="E592">
        <v>0</v>
      </c>
      <c r="F592">
        <v>0</v>
      </c>
      <c r="G592">
        <v>0</v>
      </c>
      <c r="H592">
        <v>0</v>
      </c>
    </row>
    <row r="593" spans="1:8" x14ac:dyDescent="0.25">
      <c r="A593" t="s">
        <v>44</v>
      </c>
      <c r="B593" t="s">
        <v>45</v>
      </c>
      <c r="C593" t="s">
        <v>1000</v>
      </c>
      <c r="D593" t="s">
        <v>623</v>
      </c>
      <c r="E593">
        <v>0</v>
      </c>
      <c r="F593">
        <v>0</v>
      </c>
      <c r="G593">
        <v>0</v>
      </c>
      <c r="H593">
        <v>0</v>
      </c>
    </row>
    <row r="594" spans="1:8" x14ac:dyDescent="0.25">
      <c r="A594" t="s">
        <v>44</v>
      </c>
      <c r="B594" t="s">
        <v>45</v>
      </c>
      <c r="C594" t="s">
        <v>1001</v>
      </c>
      <c r="D594" t="s">
        <v>623</v>
      </c>
      <c r="E594">
        <v>0</v>
      </c>
      <c r="F594">
        <v>0</v>
      </c>
      <c r="G594">
        <v>0</v>
      </c>
      <c r="H594">
        <v>0</v>
      </c>
    </row>
    <row r="595" spans="1:8" x14ac:dyDescent="0.25">
      <c r="A595" t="s">
        <v>44</v>
      </c>
      <c r="B595" t="s">
        <v>45</v>
      </c>
      <c r="C595" t="s">
        <v>1002</v>
      </c>
      <c r="D595" t="s">
        <v>623</v>
      </c>
      <c r="E595">
        <v>0</v>
      </c>
      <c r="F595">
        <v>0</v>
      </c>
      <c r="G595">
        <v>0</v>
      </c>
      <c r="H595">
        <v>0</v>
      </c>
    </row>
    <row r="596" spans="1:8" x14ac:dyDescent="0.25">
      <c r="A596" t="s">
        <v>44</v>
      </c>
      <c r="B596" t="s">
        <v>45</v>
      </c>
      <c r="C596" t="s">
        <v>1003</v>
      </c>
      <c r="D596" t="s">
        <v>623</v>
      </c>
      <c r="E596">
        <v>0</v>
      </c>
      <c r="F596">
        <v>0</v>
      </c>
      <c r="G596">
        <v>0</v>
      </c>
      <c r="H596">
        <v>0</v>
      </c>
    </row>
    <row r="597" spans="1:8" x14ac:dyDescent="0.25">
      <c r="A597" t="s">
        <v>44</v>
      </c>
      <c r="B597" t="s">
        <v>45</v>
      </c>
      <c r="C597" t="s">
        <v>1004</v>
      </c>
      <c r="D597" t="s">
        <v>623</v>
      </c>
      <c r="E597">
        <v>0</v>
      </c>
      <c r="F597">
        <v>0</v>
      </c>
      <c r="G597">
        <v>0</v>
      </c>
      <c r="H597">
        <v>0</v>
      </c>
    </row>
    <row r="598" spans="1:8" x14ac:dyDescent="0.25">
      <c r="A598" t="s">
        <v>44</v>
      </c>
      <c r="B598" t="s">
        <v>45</v>
      </c>
      <c r="C598" t="s">
        <v>1005</v>
      </c>
      <c r="D598" t="s">
        <v>623</v>
      </c>
      <c r="E598">
        <v>0</v>
      </c>
      <c r="F598">
        <v>0</v>
      </c>
      <c r="G598">
        <v>0</v>
      </c>
      <c r="H598">
        <v>0</v>
      </c>
    </row>
    <row r="599" spans="1:8" x14ac:dyDescent="0.25">
      <c r="A599" t="s">
        <v>44</v>
      </c>
      <c r="B599" t="s">
        <v>45</v>
      </c>
      <c r="C599" t="s">
        <v>1006</v>
      </c>
      <c r="D599" t="s">
        <v>623</v>
      </c>
      <c r="E599">
        <v>0</v>
      </c>
      <c r="F599">
        <v>0</v>
      </c>
      <c r="G599">
        <v>0</v>
      </c>
      <c r="H599">
        <v>0</v>
      </c>
    </row>
    <row r="600" spans="1:8" x14ac:dyDescent="0.25">
      <c r="A600" t="s">
        <v>44</v>
      </c>
      <c r="B600" t="s">
        <v>45</v>
      </c>
      <c r="C600" t="s">
        <v>1007</v>
      </c>
      <c r="D600" t="s">
        <v>623</v>
      </c>
      <c r="E600">
        <v>0</v>
      </c>
      <c r="F600">
        <v>0</v>
      </c>
      <c r="G600">
        <v>0</v>
      </c>
      <c r="H600">
        <v>0</v>
      </c>
    </row>
    <row r="601" spans="1:8" x14ac:dyDescent="0.25">
      <c r="A601" t="s">
        <v>44</v>
      </c>
      <c r="B601" t="s">
        <v>45</v>
      </c>
      <c r="C601" t="s">
        <v>1008</v>
      </c>
      <c r="D601" t="s">
        <v>623</v>
      </c>
      <c r="E601">
        <v>0</v>
      </c>
      <c r="F601">
        <v>0</v>
      </c>
      <c r="G601">
        <v>0</v>
      </c>
      <c r="H601">
        <v>0</v>
      </c>
    </row>
    <row r="602" spans="1:8" x14ac:dyDescent="0.25">
      <c r="A602" t="s">
        <v>44</v>
      </c>
      <c r="B602" t="s">
        <v>45</v>
      </c>
      <c r="C602" t="s">
        <v>1009</v>
      </c>
      <c r="D602" t="s">
        <v>623</v>
      </c>
      <c r="E602">
        <v>0</v>
      </c>
      <c r="F602">
        <v>0</v>
      </c>
      <c r="G602">
        <v>0</v>
      </c>
      <c r="H602">
        <v>0</v>
      </c>
    </row>
    <row r="603" spans="1:8" x14ac:dyDescent="0.25">
      <c r="A603" t="s">
        <v>44</v>
      </c>
      <c r="B603" t="s">
        <v>45</v>
      </c>
      <c r="C603" t="s">
        <v>1010</v>
      </c>
      <c r="D603" t="s">
        <v>623</v>
      </c>
      <c r="E603">
        <v>0</v>
      </c>
      <c r="F603">
        <v>0</v>
      </c>
      <c r="G603">
        <v>0</v>
      </c>
      <c r="H603">
        <v>0</v>
      </c>
    </row>
    <row r="604" spans="1:8" x14ac:dyDescent="0.25">
      <c r="A604" t="s">
        <v>44</v>
      </c>
      <c r="B604" t="s">
        <v>45</v>
      </c>
      <c r="C604" t="s">
        <v>1011</v>
      </c>
      <c r="D604" t="s">
        <v>623</v>
      </c>
      <c r="E604">
        <v>0</v>
      </c>
      <c r="F604">
        <v>0</v>
      </c>
      <c r="G604">
        <v>0</v>
      </c>
      <c r="H604">
        <v>0</v>
      </c>
    </row>
    <row r="605" spans="1:8" x14ac:dyDescent="0.25">
      <c r="A605" t="s">
        <v>44</v>
      </c>
      <c r="B605" t="s">
        <v>45</v>
      </c>
      <c r="C605" t="s">
        <v>1012</v>
      </c>
      <c r="D605" t="s">
        <v>623</v>
      </c>
      <c r="E605">
        <v>0</v>
      </c>
      <c r="F605">
        <v>0</v>
      </c>
      <c r="G605">
        <v>0</v>
      </c>
      <c r="H605">
        <v>0</v>
      </c>
    </row>
    <row r="606" spans="1:8" x14ac:dyDescent="0.25">
      <c r="A606" t="s">
        <v>44</v>
      </c>
      <c r="B606" t="s">
        <v>45</v>
      </c>
      <c r="C606" t="s">
        <v>1013</v>
      </c>
      <c r="D606" t="s">
        <v>623</v>
      </c>
      <c r="E606">
        <v>0</v>
      </c>
      <c r="F606">
        <v>0</v>
      </c>
      <c r="G606">
        <v>0</v>
      </c>
      <c r="H606">
        <v>0</v>
      </c>
    </row>
    <row r="607" spans="1:8" x14ac:dyDescent="0.25">
      <c r="A607" t="s">
        <v>44</v>
      </c>
      <c r="B607" t="s">
        <v>45</v>
      </c>
      <c r="C607" t="s">
        <v>1014</v>
      </c>
      <c r="D607" t="s">
        <v>623</v>
      </c>
      <c r="E607">
        <v>0</v>
      </c>
      <c r="F607">
        <v>0</v>
      </c>
      <c r="G607">
        <v>0</v>
      </c>
      <c r="H607">
        <v>0</v>
      </c>
    </row>
    <row r="608" spans="1:8" x14ac:dyDescent="0.25">
      <c r="A608" t="s">
        <v>44</v>
      </c>
      <c r="B608" t="s">
        <v>45</v>
      </c>
      <c r="C608" t="s">
        <v>1015</v>
      </c>
      <c r="D608" t="s">
        <v>623</v>
      </c>
      <c r="E608">
        <v>0</v>
      </c>
      <c r="F608">
        <v>0</v>
      </c>
      <c r="G608">
        <v>0</v>
      </c>
      <c r="H608">
        <v>0</v>
      </c>
    </row>
    <row r="609" spans="1:8" x14ac:dyDescent="0.25">
      <c r="A609" t="s">
        <v>44</v>
      </c>
      <c r="B609" t="s">
        <v>45</v>
      </c>
      <c r="C609" t="s">
        <v>1016</v>
      </c>
      <c r="D609" t="s">
        <v>623</v>
      </c>
      <c r="E609">
        <v>0</v>
      </c>
      <c r="F609">
        <v>0</v>
      </c>
      <c r="G609">
        <v>0</v>
      </c>
      <c r="H609">
        <v>0</v>
      </c>
    </row>
    <row r="610" spans="1:8" x14ac:dyDescent="0.25">
      <c r="A610" t="s">
        <v>44</v>
      </c>
      <c r="B610" t="s">
        <v>45</v>
      </c>
      <c r="C610" t="s">
        <v>1017</v>
      </c>
      <c r="D610" t="s">
        <v>623</v>
      </c>
      <c r="E610">
        <v>0</v>
      </c>
      <c r="F610">
        <v>0</v>
      </c>
      <c r="G610">
        <v>0</v>
      </c>
      <c r="H610">
        <v>0</v>
      </c>
    </row>
    <row r="611" spans="1:8" x14ac:dyDescent="0.25">
      <c r="A611" t="s">
        <v>44</v>
      </c>
      <c r="B611" t="s">
        <v>45</v>
      </c>
      <c r="C611" t="s">
        <v>1018</v>
      </c>
      <c r="D611" t="s">
        <v>623</v>
      </c>
      <c r="E611">
        <v>0</v>
      </c>
      <c r="F611">
        <v>0</v>
      </c>
      <c r="G611">
        <v>0</v>
      </c>
      <c r="H611">
        <v>0</v>
      </c>
    </row>
    <row r="612" spans="1:8" x14ac:dyDescent="0.25">
      <c r="A612" t="s">
        <v>44</v>
      </c>
      <c r="B612" t="s">
        <v>45</v>
      </c>
      <c r="C612" t="s">
        <v>1019</v>
      </c>
      <c r="D612" t="s">
        <v>623</v>
      </c>
      <c r="E612">
        <v>0</v>
      </c>
      <c r="F612">
        <v>0</v>
      </c>
      <c r="G612">
        <v>0</v>
      </c>
      <c r="H612">
        <v>0</v>
      </c>
    </row>
    <row r="613" spans="1:8" x14ac:dyDescent="0.25">
      <c r="A613" t="s">
        <v>44</v>
      </c>
      <c r="B613" t="s">
        <v>45</v>
      </c>
      <c r="C613" t="s">
        <v>1020</v>
      </c>
      <c r="D613" t="s">
        <v>623</v>
      </c>
      <c r="E613">
        <v>0</v>
      </c>
      <c r="F613">
        <v>0</v>
      </c>
      <c r="G613">
        <v>0</v>
      </c>
      <c r="H613">
        <v>0</v>
      </c>
    </row>
    <row r="614" spans="1:8" x14ac:dyDescent="0.25">
      <c r="A614" t="s">
        <v>44</v>
      </c>
      <c r="B614" t="s">
        <v>45</v>
      </c>
      <c r="C614" t="s">
        <v>1021</v>
      </c>
      <c r="D614" t="s">
        <v>623</v>
      </c>
      <c r="E614">
        <v>0</v>
      </c>
      <c r="F614">
        <v>0</v>
      </c>
      <c r="G614">
        <v>0</v>
      </c>
      <c r="H614">
        <v>0</v>
      </c>
    </row>
    <row r="615" spans="1:8" x14ac:dyDescent="0.25">
      <c r="A615" t="s">
        <v>44</v>
      </c>
      <c r="B615" t="s">
        <v>45</v>
      </c>
      <c r="C615" t="s">
        <v>1022</v>
      </c>
      <c r="D615" t="s">
        <v>623</v>
      </c>
      <c r="E615">
        <v>0</v>
      </c>
      <c r="F615">
        <v>0</v>
      </c>
      <c r="G615">
        <v>0</v>
      </c>
      <c r="H615">
        <v>0</v>
      </c>
    </row>
    <row r="616" spans="1:8" x14ac:dyDescent="0.25">
      <c r="A616" t="s">
        <v>44</v>
      </c>
      <c r="B616" t="s">
        <v>45</v>
      </c>
      <c r="C616" t="s">
        <v>1023</v>
      </c>
      <c r="D616" t="s">
        <v>623</v>
      </c>
      <c r="E616">
        <v>0</v>
      </c>
      <c r="F616">
        <v>0</v>
      </c>
      <c r="G616">
        <v>0</v>
      </c>
      <c r="H616">
        <v>0</v>
      </c>
    </row>
    <row r="617" spans="1:8" x14ac:dyDescent="0.25">
      <c r="A617" t="s">
        <v>44</v>
      </c>
      <c r="B617" t="s">
        <v>45</v>
      </c>
      <c r="C617" t="s">
        <v>1024</v>
      </c>
      <c r="D617" t="s">
        <v>623</v>
      </c>
      <c r="E617">
        <v>0</v>
      </c>
      <c r="F617">
        <v>0</v>
      </c>
      <c r="G617">
        <v>0</v>
      </c>
      <c r="H617">
        <v>0</v>
      </c>
    </row>
    <row r="618" spans="1:8" x14ac:dyDescent="0.25">
      <c r="A618" t="s">
        <v>44</v>
      </c>
      <c r="B618" t="s">
        <v>45</v>
      </c>
      <c r="C618" t="s">
        <v>1025</v>
      </c>
      <c r="D618" t="s">
        <v>623</v>
      </c>
      <c r="E618">
        <v>0</v>
      </c>
      <c r="F618">
        <v>0</v>
      </c>
      <c r="G618">
        <v>0</v>
      </c>
      <c r="H618">
        <v>0</v>
      </c>
    </row>
    <row r="619" spans="1:8" x14ac:dyDescent="0.25">
      <c r="A619" t="s">
        <v>44</v>
      </c>
      <c r="B619" t="s">
        <v>45</v>
      </c>
      <c r="C619" t="s">
        <v>1026</v>
      </c>
      <c r="D619" t="s">
        <v>623</v>
      </c>
      <c r="E619">
        <v>0</v>
      </c>
      <c r="F619">
        <v>0</v>
      </c>
      <c r="G619">
        <v>0</v>
      </c>
      <c r="H619">
        <v>0</v>
      </c>
    </row>
    <row r="620" spans="1:8" x14ac:dyDescent="0.25">
      <c r="A620" t="s">
        <v>44</v>
      </c>
      <c r="B620" t="s">
        <v>45</v>
      </c>
      <c r="C620" t="s">
        <v>1027</v>
      </c>
      <c r="D620" t="s">
        <v>623</v>
      </c>
      <c r="E620">
        <v>0</v>
      </c>
      <c r="F620">
        <v>0</v>
      </c>
      <c r="G620">
        <v>0</v>
      </c>
      <c r="H620">
        <v>0</v>
      </c>
    </row>
    <row r="621" spans="1:8" x14ac:dyDescent="0.25">
      <c r="A621" t="s">
        <v>44</v>
      </c>
      <c r="B621" t="s">
        <v>45</v>
      </c>
      <c r="C621" t="s">
        <v>1028</v>
      </c>
      <c r="D621" t="s">
        <v>623</v>
      </c>
      <c r="E621">
        <v>0</v>
      </c>
      <c r="F621">
        <v>0</v>
      </c>
      <c r="G621">
        <v>0</v>
      </c>
      <c r="H621">
        <v>0</v>
      </c>
    </row>
    <row r="622" spans="1:8" x14ac:dyDescent="0.25">
      <c r="A622" t="s">
        <v>44</v>
      </c>
      <c r="B622" t="s">
        <v>45</v>
      </c>
      <c r="C622" t="s">
        <v>1029</v>
      </c>
      <c r="D622" t="s">
        <v>623</v>
      </c>
      <c r="E622">
        <v>0</v>
      </c>
      <c r="F622">
        <v>0</v>
      </c>
      <c r="G622">
        <v>0</v>
      </c>
      <c r="H622">
        <v>0</v>
      </c>
    </row>
    <row r="623" spans="1:8" x14ac:dyDescent="0.25">
      <c r="A623" t="s">
        <v>44</v>
      </c>
      <c r="B623" t="s">
        <v>45</v>
      </c>
      <c r="C623" t="s">
        <v>1030</v>
      </c>
      <c r="D623" t="s">
        <v>623</v>
      </c>
      <c r="E623">
        <v>0</v>
      </c>
      <c r="F623">
        <v>0</v>
      </c>
      <c r="G623">
        <v>0</v>
      </c>
      <c r="H623">
        <v>0</v>
      </c>
    </row>
    <row r="624" spans="1:8" x14ac:dyDescent="0.25">
      <c r="A624" t="s">
        <v>44</v>
      </c>
      <c r="B624" t="s">
        <v>45</v>
      </c>
      <c r="C624" t="s">
        <v>1031</v>
      </c>
      <c r="D624" t="s">
        <v>623</v>
      </c>
      <c r="E624">
        <v>0</v>
      </c>
      <c r="F624">
        <v>0</v>
      </c>
      <c r="G624">
        <v>0</v>
      </c>
      <c r="H624">
        <v>0</v>
      </c>
    </row>
    <row r="625" spans="1:8" x14ac:dyDescent="0.25">
      <c r="A625" t="s">
        <v>44</v>
      </c>
      <c r="B625" t="s">
        <v>45</v>
      </c>
      <c r="C625" t="s">
        <v>1032</v>
      </c>
      <c r="D625" t="s">
        <v>623</v>
      </c>
      <c r="E625">
        <v>0</v>
      </c>
      <c r="F625">
        <v>0</v>
      </c>
      <c r="G625">
        <v>0</v>
      </c>
      <c r="H625">
        <v>0</v>
      </c>
    </row>
    <row r="626" spans="1:8" x14ac:dyDescent="0.25">
      <c r="A626" t="s">
        <v>44</v>
      </c>
      <c r="B626" t="s">
        <v>45</v>
      </c>
      <c r="C626" t="s">
        <v>1033</v>
      </c>
      <c r="D626" t="s">
        <v>623</v>
      </c>
      <c r="E626">
        <v>0</v>
      </c>
      <c r="F626">
        <v>0</v>
      </c>
      <c r="G626">
        <v>0</v>
      </c>
      <c r="H626">
        <v>0</v>
      </c>
    </row>
    <row r="627" spans="1:8" x14ac:dyDescent="0.25">
      <c r="A627" t="s">
        <v>44</v>
      </c>
      <c r="B627" t="s">
        <v>45</v>
      </c>
      <c r="C627" t="s">
        <v>1034</v>
      </c>
      <c r="D627" t="s">
        <v>623</v>
      </c>
      <c r="E627">
        <v>0</v>
      </c>
      <c r="F627">
        <v>0</v>
      </c>
      <c r="G627">
        <v>0</v>
      </c>
      <c r="H627">
        <v>0</v>
      </c>
    </row>
    <row r="628" spans="1:8" x14ac:dyDescent="0.25">
      <c r="A628" t="s">
        <v>44</v>
      </c>
      <c r="B628" t="s">
        <v>45</v>
      </c>
      <c r="C628" t="s">
        <v>1035</v>
      </c>
      <c r="D628" t="s">
        <v>623</v>
      </c>
      <c r="E628">
        <v>0</v>
      </c>
      <c r="F628">
        <v>0</v>
      </c>
      <c r="G628">
        <v>0</v>
      </c>
      <c r="H628">
        <v>0</v>
      </c>
    </row>
    <row r="629" spans="1:8" x14ac:dyDescent="0.25">
      <c r="A629" t="s">
        <v>44</v>
      </c>
      <c r="B629" t="s">
        <v>45</v>
      </c>
      <c r="C629" t="s">
        <v>1036</v>
      </c>
      <c r="D629" t="s">
        <v>623</v>
      </c>
      <c r="E629">
        <v>0</v>
      </c>
      <c r="F629">
        <v>0</v>
      </c>
      <c r="G629">
        <v>0</v>
      </c>
      <c r="H629">
        <v>0</v>
      </c>
    </row>
    <row r="630" spans="1:8" x14ac:dyDescent="0.25">
      <c r="A630" t="s">
        <v>44</v>
      </c>
      <c r="B630" t="s">
        <v>45</v>
      </c>
      <c r="C630" t="s">
        <v>1037</v>
      </c>
      <c r="D630" t="s">
        <v>623</v>
      </c>
      <c r="E630">
        <v>0</v>
      </c>
      <c r="F630">
        <v>0</v>
      </c>
      <c r="G630">
        <v>0</v>
      </c>
      <c r="H630">
        <v>0</v>
      </c>
    </row>
    <row r="631" spans="1:8" x14ac:dyDescent="0.25">
      <c r="A631" t="s">
        <v>44</v>
      </c>
      <c r="B631" t="s">
        <v>45</v>
      </c>
      <c r="C631" t="s">
        <v>1038</v>
      </c>
      <c r="D631" t="s">
        <v>623</v>
      </c>
      <c r="E631">
        <v>0</v>
      </c>
      <c r="F631">
        <v>0</v>
      </c>
      <c r="G631">
        <v>0</v>
      </c>
      <c r="H631">
        <v>0</v>
      </c>
    </row>
    <row r="632" spans="1:8" x14ac:dyDescent="0.25">
      <c r="A632" t="s">
        <v>44</v>
      </c>
      <c r="B632" t="s">
        <v>45</v>
      </c>
      <c r="C632" t="s">
        <v>1039</v>
      </c>
      <c r="D632" t="s">
        <v>623</v>
      </c>
      <c r="E632">
        <v>0</v>
      </c>
      <c r="F632">
        <v>0</v>
      </c>
      <c r="G632">
        <v>0</v>
      </c>
      <c r="H632">
        <v>0</v>
      </c>
    </row>
    <row r="633" spans="1:8" x14ac:dyDescent="0.25">
      <c r="A633" t="s">
        <v>44</v>
      </c>
      <c r="B633" t="s">
        <v>45</v>
      </c>
      <c r="C633" t="s">
        <v>1040</v>
      </c>
      <c r="D633" t="s">
        <v>623</v>
      </c>
      <c r="E633">
        <v>0</v>
      </c>
      <c r="F633">
        <v>0</v>
      </c>
      <c r="G633">
        <v>0</v>
      </c>
      <c r="H633">
        <v>0</v>
      </c>
    </row>
    <row r="634" spans="1:8" x14ac:dyDescent="0.25">
      <c r="A634" t="s">
        <v>44</v>
      </c>
      <c r="B634" t="s">
        <v>45</v>
      </c>
      <c r="C634" t="s">
        <v>1041</v>
      </c>
      <c r="D634" t="s">
        <v>623</v>
      </c>
      <c r="E634">
        <v>0</v>
      </c>
      <c r="F634">
        <v>0</v>
      </c>
      <c r="G634">
        <v>0</v>
      </c>
      <c r="H634">
        <v>0</v>
      </c>
    </row>
    <row r="635" spans="1:8" x14ac:dyDescent="0.25">
      <c r="A635" t="s">
        <v>44</v>
      </c>
      <c r="B635" t="s">
        <v>45</v>
      </c>
      <c r="C635" t="s">
        <v>1042</v>
      </c>
      <c r="D635" t="s">
        <v>623</v>
      </c>
      <c r="E635">
        <v>0</v>
      </c>
      <c r="F635">
        <v>0</v>
      </c>
      <c r="G635">
        <v>0</v>
      </c>
      <c r="H635">
        <v>0</v>
      </c>
    </row>
    <row r="636" spans="1:8" x14ac:dyDescent="0.25">
      <c r="A636" t="s">
        <v>44</v>
      </c>
      <c r="B636" t="s">
        <v>45</v>
      </c>
      <c r="C636" t="s">
        <v>1043</v>
      </c>
      <c r="D636" t="s">
        <v>623</v>
      </c>
      <c r="E636">
        <v>0</v>
      </c>
      <c r="F636">
        <v>0</v>
      </c>
      <c r="G636">
        <v>0</v>
      </c>
      <c r="H636">
        <v>0</v>
      </c>
    </row>
    <row r="637" spans="1:8" x14ac:dyDescent="0.25">
      <c r="A637" t="s">
        <v>44</v>
      </c>
      <c r="B637" t="s">
        <v>45</v>
      </c>
      <c r="C637" t="s">
        <v>1044</v>
      </c>
      <c r="D637" t="s">
        <v>623</v>
      </c>
      <c r="E637">
        <v>0</v>
      </c>
      <c r="F637">
        <v>0</v>
      </c>
      <c r="G637">
        <v>0</v>
      </c>
      <c r="H637">
        <v>0</v>
      </c>
    </row>
    <row r="638" spans="1:8" x14ac:dyDescent="0.25">
      <c r="A638" t="s">
        <v>44</v>
      </c>
      <c r="B638" t="s">
        <v>45</v>
      </c>
      <c r="C638" t="s">
        <v>1045</v>
      </c>
      <c r="D638" t="s">
        <v>623</v>
      </c>
      <c r="E638">
        <v>0</v>
      </c>
      <c r="F638">
        <v>0</v>
      </c>
      <c r="G638">
        <v>0</v>
      </c>
      <c r="H638">
        <v>0</v>
      </c>
    </row>
    <row r="639" spans="1:8" x14ac:dyDescent="0.25">
      <c r="A639" t="s">
        <v>44</v>
      </c>
      <c r="B639" t="s">
        <v>45</v>
      </c>
      <c r="C639" t="s">
        <v>1046</v>
      </c>
      <c r="D639" t="s">
        <v>623</v>
      </c>
      <c r="E639">
        <v>0</v>
      </c>
      <c r="F639">
        <v>0</v>
      </c>
      <c r="G639">
        <v>0</v>
      </c>
      <c r="H639">
        <v>0</v>
      </c>
    </row>
    <row r="640" spans="1:8" x14ac:dyDescent="0.25">
      <c r="A640" t="s">
        <v>44</v>
      </c>
      <c r="B640" t="s">
        <v>45</v>
      </c>
      <c r="C640" t="s">
        <v>1047</v>
      </c>
      <c r="D640" t="s">
        <v>623</v>
      </c>
      <c r="E640">
        <v>0</v>
      </c>
      <c r="F640">
        <v>0</v>
      </c>
      <c r="G640">
        <v>0</v>
      </c>
      <c r="H640">
        <v>0</v>
      </c>
    </row>
    <row r="641" spans="1:8" x14ac:dyDescent="0.25">
      <c r="A641" t="s">
        <v>44</v>
      </c>
      <c r="B641" t="s">
        <v>45</v>
      </c>
      <c r="C641" t="s">
        <v>1048</v>
      </c>
      <c r="D641" t="s">
        <v>623</v>
      </c>
      <c r="E641">
        <v>0</v>
      </c>
      <c r="F641">
        <v>0</v>
      </c>
      <c r="G641">
        <v>0</v>
      </c>
      <c r="H641">
        <v>0</v>
      </c>
    </row>
    <row r="642" spans="1:8" x14ac:dyDescent="0.25">
      <c r="A642" t="s">
        <v>44</v>
      </c>
      <c r="B642" t="s">
        <v>45</v>
      </c>
      <c r="C642" t="s">
        <v>1049</v>
      </c>
      <c r="D642" t="s">
        <v>623</v>
      </c>
      <c r="E642">
        <v>0</v>
      </c>
      <c r="F642">
        <v>0</v>
      </c>
      <c r="G642">
        <v>0</v>
      </c>
      <c r="H642">
        <v>0</v>
      </c>
    </row>
    <row r="643" spans="1:8" x14ac:dyDescent="0.25">
      <c r="A643" t="s">
        <v>44</v>
      </c>
      <c r="B643" t="s">
        <v>45</v>
      </c>
      <c r="C643" t="s">
        <v>1050</v>
      </c>
      <c r="D643" t="s">
        <v>623</v>
      </c>
      <c r="E643">
        <v>0</v>
      </c>
      <c r="F643">
        <v>0</v>
      </c>
      <c r="G643">
        <v>0</v>
      </c>
      <c r="H643">
        <v>0</v>
      </c>
    </row>
    <row r="644" spans="1:8" x14ac:dyDescent="0.25">
      <c r="A644" t="s">
        <v>44</v>
      </c>
      <c r="B644" t="s">
        <v>45</v>
      </c>
      <c r="C644" t="s">
        <v>1051</v>
      </c>
      <c r="D644" t="s">
        <v>623</v>
      </c>
      <c r="E644">
        <v>0</v>
      </c>
      <c r="F644">
        <v>0</v>
      </c>
      <c r="G644">
        <v>0</v>
      </c>
      <c r="H644">
        <v>0</v>
      </c>
    </row>
    <row r="645" spans="1:8" x14ac:dyDescent="0.25">
      <c r="A645" t="s">
        <v>44</v>
      </c>
      <c r="B645" t="s">
        <v>45</v>
      </c>
      <c r="C645" t="s">
        <v>1052</v>
      </c>
      <c r="D645" t="s">
        <v>623</v>
      </c>
      <c r="E645">
        <v>0</v>
      </c>
      <c r="F645">
        <v>0</v>
      </c>
      <c r="G645">
        <v>0</v>
      </c>
      <c r="H645">
        <v>0</v>
      </c>
    </row>
    <row r="646" spans="1:8" x14ac:dyDescent="0.25">
      <c r="A646" t="s">
        <v>44</v>
      </c>
      <c r="B646" t="s">
        <v>45</v>
      </c>
      <c r="C646" t="s">
        <v>1053</v>
      </c>
      <c r="D646" t="s">
        <v>623</v>
      </c>
      <c r="E646">
        <v>0</v>
      </c>
      <c r="F646">
        <v>0</v>
      </c>
      <c r="G646">
        <v>0</v>
      </c>
      <c r="H646">
        <v>0</v>
      </c>
    </row>
    <row r="647" spans="1:8" x14ac:dyDescent="0.25">
      <c r="A647" t="s">
        <v>44</v>
      </c>
      <c r="B647" t="s">
        <v>45</v>
      </c>
      <c r="C647" t="s">
        <v>1054</v>
      </c>
      <c r="D647" t="s">
        <v>623</v>
      </c>
      <c r="E647">
        <v>0</v>
      </c>
      <c r="F647">
        <v>0</v>
      </c>
      <c r="G647">
        <v>0</v>
      </c>
      <c r="H64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6"/>
  <sheetViews>
    <sheetView workbookViewId="0">
      <selection sqref="A1:C166"/>
    </sheetView>
  </sheetViews>
  <sheetFormatPr defaultRowHeight="15" x14ac:dyDescent="0.25"/>
  <sheetData>
    <row r="1" spans="1:3" x14ac:dyDescent="0.25">
      <c r="A1" t="s">
        <v>627</v>
      </c>
      <c r="B1" t="s">
        <v>628</v>
      </c>
      <c r="C1" t="s">
        <v>1055</v>
      </c>
    </row>
    <row r="2" spans="1:3" x14ac:dyDescent="0.25">
      <c r="A2" t="s">
        <v>45</v>
      </c>
      <c r="B2" t="s">
        <v>237</v>
      </c>
      <c r="C2" t="s">
        <v>92</v>
      </c>
    </row>
    <row r="3" spans="1:3" x14ac:dyDescent="0.25">
      <c r="A3" t="s">
        <v>45</v>
      </c>
      <c r="B3" t="s">
        <v>367</v>
      </c>
      <c r="C3" t="s">
        <v>92</v>
      </c>
    </row>
    <row r="4" spans="1:3" x14ac:dyDescent="0.25">
      <c r="A4" t="s">
        <v>45</v>
      </c>
      <c r="B4" t="s">
        <v>370</v>
      </c>
      <c r="C4" t="s">
        <v>92</v>
      </c>
    </row>
    <row r="5" spans="1:3" x14ac:dyDescent="0.25">
      <c r="A5" t="s">
        <v>45</v>
      </c>
      <c r="B5" t="s">
        <v>373</v>
      </c>
      <c r="C5" t="s">
        <v>92</v>
      </c>
    </row>
    <row r="6" spans="1:3" x14ac:dyDescent="0.25">
      <c r="A6" t="s">
        <v>45</v>
      </c>
      <c r="B6" t="s">
        <v>108</v>
      </c>
      <c r="C6" t="s">
        <v>92</v>
      </c>
    </row>
    <row r="7" spans="1:3" x14ac:dyDescent="0.25">
      <c r="A7" t="s">
        <v>45</v>
      </c>
      <c r="B7" t="s">
        <v>375</v>
      </c>
      <c r="C7" t="s">
        <v>92</v>
      </c>
    </row>
    <row r="8" spans="1:3" x14ac:dyDescent="0.25">
      <c r="A8" t="s">
        <v>45</v>
      </c>
      <c r="B8" t="s">
        <v>497</v>
      </c>
      <c r="C8" t="s">
        <v>92</v>
      </c>
    </row>
    <row r="9" spans="1:3" x14ac:dyDescent="0.25">
      <c r="A9" t="s">
        <v>45</v>
      </c>
      <c r="B9" t="s">
        <v>500</v>
      </c>
      <c r="C9" t="s">
        <v>92</v>
      </c>
    </row>
    <row r="10" spans="1:3" x14ac:dyDescent="0.25">
      <c r="A10" t="s">
        <v>45</v>
      </c>
      <c r="B10" t="s">
        <v>378</v>
      </c>
      <c r="C10" t="s">
        <v>92</v>
      </c>
    </row>
    <row r="11" spans="1:3" x14ac:dyDescent="0.25">
      <c r="A11" t="s">
        <v>45</v>
      </c>
      <c r="B11" t="s">
        <v>508</v>
      </c>
      <c r="C11" t="s">
        <v>92</v>
      </c>
    </row>
    <row r="12" spans="1:3" x14ac:dyDescent="0.25">
      <c r="A12" t="s">
        <v>45</v>
      </c>
      <c r="B12" t="s">
        <v>606</v>
      </c>
      <c r="C12" t="s">
        <v>178</v>
      </c>
    </row>
    <row r="13" spans="1:3" x14ac:dyDescent="0.25">
      <c r="A13" t="s">
        <v>45</v>
      </c>
      <c r="B13" t="s">
        <v>177</v>
      </c>
      <c r="C13" t="s">
        <v>178</v>
      </c>
    </row>
    <row r="14" spans="1:3" x14ac:dyDescent="0.25">
      <c r="A14" t="s">
        <v>45</v>
      </c>
      <c r="B14" t="s">
        <v>301</v>
      </c>
      <c r="C14" t="s">
        <v>178</v>
      </c>
    </row>
    <row r="15" spans="1:3" x14ac:dyDescent="0.25">
      <c r="A15" t="s">
        <v>45</v>
      </c>
      <c r="B15" t="s">
        <v>435</v>
      </c>
      <c r="C15" t="s">
        <v>178</v>
      </c>
    </row>
    <row r="16" spans="1:3" x14ac:dyDescent="0.25">
      <c r="A16" t="s">
        <v>45</v>
      </c>
      <c r="B16" t="s">
        <v>608</v>
      </c>
      <c r="C16" t="s">
        <v>178</v>
      </c>
    </row>
    <row r="17" spans="1:3" x14ac:dyDescent="0.25">
      <c r="A17" t="s">
        <v>45</v>
      </c>
      <c r="B17" t="s">
        <v>304</v>
      </c>
      <c r="C17" t="s">
        <v>178</v>
      </c>
    </row>
    <row r="18" spans="1:3" x14ac:dyDescent="0.25">
      <c r="A18" t="s">
        <v>45</v>
      </c>
      <c r="B18" t="s">
        <v>306</v>
      </c>
      <c r="C18" t="s">
        <v>178</v>
      </c>
    </row>
    <row r="19" spans="1:3" x14ac:dyDescent="0.25">
      <c r="A19" t="s">
        <v>45</v>
      </c>
      <c r="B19" t="s">
        <v>438</v>
      </c>
      <c r="C19" t="s">
        <v>178</v>
      </c>
    </row>
    <row r="20" spans="1:3" x14ac:dyDescent="0.25">
      <c r="A20" t="s">
        <v>45</v>
      </c>
      <c r="B20" t="s">
        <v>467</v>
      </c>
      <c r="C20" t="s">
        <v>178</v>
      </c>
    </row>
    <row r="21" spans="1:3" x14ac:dyDescent="0.25">
      <c r="A21" t="s">
        <v>45</v>
      </c>
      <c r="B21" t="s">
        <v>182</v>
      </c>
      <c r="C21" t="s">
        <v>178</v>
      </c>
    </row>
    <row r="22" spans="1:3" x14ac:dyDescent="0.25">
      <c r="A22" t="s">
        <v>45</v>
      </c>
      <c r="B22" t="s">
        <v>308</v>
      </c>
      <c r="C22" t="s">
        <v>178</v>
      </c>
    </row>
    <row r="23" spans="1:3" x14ac:dyDescent="0.25">
      <c r="A23" t="s">
        <v>45</v>
      </c>
      <c r="B23" t="s">
        <v>440</v>
      </c>
      <c r="C23" t="s">
        <v>178</v>
      </c>
    </row>
    <row r="24" spans="1:3" x14ac:dyDescent="0.25">
      <c r="A24" t="s">
        <v>45</v>
      </c>
      <c r="B24" t="s">
        <v>511</v>
      </c>
      <c r="C24" t="s">
        <v>92</v>
      </c>
    </row>
    <row r="25" spans="1:3" x14ac:dyDescent="0.25">
      <c r="A25" t="s">
        <v>45</v>
      </c>
      <c r="B25" t="s">
        <v>513</v>
      </c>
      <c r="C25" t="s">
        <v>92</v>
      </c>
    </row>
    <row r="26" spans="1:3" x14ac:dyDescent="0.25">
      <c r="A26" t="s">
        <v>45</v>
      </c>
      <c r="B26" t="s">
        <v>516</v>
      </c>
      <c r="C26" t="s">
        <v>92</v>
      </c>
    </row>
    <row r="27" spans="1:3" x14ac:dyDescent="0.25">
      <c r="A27" t="s">
        <v>45</v>
      </c>
      <c r="B27" t="s">
        <v>610</v>
      </c>
      <c r="C27" t="s">
        <v>178</v>
      </c>
    </row>
    <row r="28" spans="1:3" x14ac:dyDescent="0.25">
      <c r="A28" t="s">
        <v>45</v>
      </c>
      <c r="B28" t="s">
        <v>184</v>
      </c>
      <c r="C28" t="s">
        <v>178</v>
      </c>
    </row>
    <row r="29" spans="1:3" x14ac:dyDescent="0.25">
      <c r="A29" t="s">
        <v>45</v>
      </c>
      <c r="B29" t="s">
        <v>310</v>
      </c>
      <c r="C29" t="s">
        <v>178</v>
      </c>
    </row>
    <row r="30" spans="1:3" x14ac:dyDescent="0.25">
      <c r="A30" t="s">
        <v>45</v>
      </c>
      <c r="B30" t="s">
        <v>442</v>
      </c>
      <c r="C30" t="s">
        <v>178</v>
      </c>
    </row>
    <row r="31" spans="1:3" x14ac:dyDescent="0.25">
      <c r="A31" t="s">
        <v>45</v>
      </c>
      <c r="B31" t="s">
        <v>612</v>
      </c>
      <c r="C31" t="s">
        <v>178</v>
      </c>
    </row>
    <row r="32" spans="1:3" x14ac:dyDescent="0.25">
      <c r="A32" t="s">
        <v>45</v>
      </c>
      <c r="B32" t="s">
        <v>313</v>
      </c>
      <c r="C32" t="s">
        <v>178</v>
      </c>
    </row>
    <row r="33" spans="1:3" x14ac:dyDescent="0.25">
      <c r="A33" t="s">
        <v>45</v>
      </c>
      <c r="B33" t="s">
        <v>315</v>
      </c>
      <c r="C33" t="s">
        <v>178</v>
      </c>
    </row>
    <row r="34" spans="1:3" x14ac:dyDescent="0.25">
      <c r="A34" t="s">
        <v>45</v>
      </c>
      <c r="B34" t="s">
        <v>445</v>
      </c>
      <c r="C34" t="s">
        <v>178</v>
      </c>
    </row>
    <row r="35" spans="1:3" x14ac:dyDescent="0.25">
      <c r="A35" t="s">
        <v>45</v>
      </c>
      <c r="B35" t="s">
        <v>469</v>
      </c>
      <c r="C35" t="s">
        <v>178</v>
      </c>
    </row>
    <row r="36" spans="1:3" x14ac:dyDescent="0.25">
      <c r="A36" t="s">
        <v>45</v>
      </c>
      <c r="B36" t="s">
        <v>187</v>
      </c>
      <c r="C36" t="s">
        <v>178</v>
      </c>
    </row>
    <row r="37" spans="1:3" x14ac:dyDescent="0.25">
      <c r="A37" t="s">
        <v>45</v>
      </c>
      <c r="B37" t="s">
        <v>317</v>
      </c>
      <c r="C37" t="s">
        <v>178</v>
      </c>
    </row>
    <row r="38" spans="1:3" x14ac:dyDescent="0.25">
      <c r="A38" t="s">
        <v>45</v>
      </c>
      <c r="B38" t="s">
        <v>447</v>
      </c>
      <c r="C38" t="s">
        <v>178</v>
      </c>
    </row>
    <row r="39" spans="1:3" x14ac:dyDescent="0.25">
      <c r="A39" t="s">
        <v>45</v>
      </c>
      <c r="B39" t="s">
        <v>61</v>
      </c>
      <c r="C39" t="s">
        <v>47</v>
      </c>
    </row>
    <row r="40" spans="1:3" x14ac:dyDescent="0.25">
      <c r="A40" t="s">
        <v>45</v>
      </c>
      <c r="B40" t="s">
        <v>204</v>
      </c>
      <c r="C40" t="s">
        <v>47</v>
      </c>
    </row>
    <row r="41" spans="1:3" x14ac:dyDescent="0.25">
      <c r="A41" t="s">
        <v>45</v>
      </c>
      <c r="B41" t="s">
        <v>338</v>
      </c>
      <c r="C41" t="s">
        <v>47</v>
      </c>
    </row>
    <row r="42" spans="1:3" x14ac:dyDescent="0.25">
      <c r="A42" t="s">
        <v>45</v>
      </c>
      <c r="B42" t="s">
        <v>478</v>
      </c>
      <c r="C42" t="s">
        <v>47</v>
      </c>
    </row>
    <row r="43" spans="1:3" x14ac:dyDescent="0.25">
      <c r="A43" t="s">
        <v>45</v>
      </c>
      <c r="B43" t="s">
        <v>65</v>
      </c>
      <c r="C43" t="s">
        <v>47</v>
      </c>
    </row>
    <row r="44" spans="1:3" x14ac:dyDescent="0.25">
      <c r="A44" t="s">
        <v>45</v>
      </c>
      <c r="B44" t="s">
        <v>207</v>
      </c>
      <c r="C44" t="s">
        <v>47</v>
      </c>
    </row>
    <row r="45" spans="1:3" x14ac:dyDescent="0.25">
      <c r="A45" t="s">
        <v>45</v>
      </c>
      <c r="B45" t="s">
        <v>341</v>
      </c>
      <c r="C45" t="s">
        <v>47</v>
      </c>
    </row>
    <row r="46" spans="1:3" x14ac:dyDescent="0.25">
      <c r="A46" t="s">
        <v>45</v>
      </c>
      <c r="B46" t="s">
        <v>210</v>
      </c>
      <c r="C46" t="s">
        <v>47</v>
      </c>
    </row>
    <row r="47" spans="1:3" x14ac:dyDescent="0.25">
      <c r="A47" t="s">
        <v>45</v>
      </c>
      <c r="B47" t="s">
        <v>212</v>
      </c>
      <c r="C47" t="s">
        <v>47</v>
      </c>
    </row>
    <row r="48" spans="1:3" x14ac:dyDescent="0.25">
      <c r="A48" t="s">
        <v>45</v>
      </c>
      <c r="B48" t="s">
        <v>344</v>
      </c>
      <c r="C48" t="s">
        <v>47</v>
      </c>
    </row>
    <row r="49" spans="1:3" x14ac:dyDescent="0.25">
      <c r="A49" t="s">
        <v>45</v>
      </c>
      <c r="B49" t="s">
        <v>459</v>
      </c>
      <c r="C49" t="s">
        <v>47</v>
      </c>
    </row>
    <row r="50" spans="1:3" x14ac:dyDescent="0.25">
      <c r="A50" t="s">
        <v>45</v>
      </c>
      <c r="B50" t="s">
        <v>69</v>
      </c>
      <c r="C50" t="s">
        <v>47</v>
      </c>
    </row>
    <row r="51" spans="1:3" x14ac:dyDescent="0.25">
      <c r="A51" t="s">
        <v>45</v>
      </c>
      <c r="B51" t="s">
        <v>346</v>
      </c>
      <c r="C51" t="s">
        <v>47</v>
      </c>
    </row>
    <row r="52" spans="1:3" x14ac:dyDescent="0.25">
      <c r="A52" t="s">
        <v>45</v>
      </c>
      <c r="B52" t="s">
        <v>483</v>
      </c>
      <c r="C52" t="s">
        <v>47</v>
      </c>
    </row>
    <row r="53" spans="1:3" x14ac:dyDescent="0.25">
      <c r="A53" t="s">
        <v>45</v>
      </c>
      <c r="B53" t="s">
        <v>71</v>
      </c>
      <c r="C53" t="s">
        <v>47</v>
      </c>
    </row>
    <row r="54" spans="1:3" x14ac:dyDescent="0.25">
      <c r="A54" t="s">
        <v>45</v>
      </c>
      <c r="B54" t="s">
        <v>216</v>
      </c>
      <c r="C54" t="s">
        <v>47</v>
      </c>
    </row>
    <row r="55" spans="1:3" x14ac:dyDescent="0.25">
      <c r="A55" t="s">
        <v>45</v>
      </c>
      <c r="B55" t="s">
        <v>348</v>
      </c>
      <c r="C55" t="s">
        <v>47</v>
      </c>
    </row>
    <row r="56" spans="1:3" x14ac:dyDescent="0.25">
      <c r="A56" t="s">
        <v>45</v>
      </c>
      <c r="B56" t="s">
        <v>485</v>
      </c>
      <c r="C56" t="s">
        <v>47</v>
      </c>
    </row>
    <row r="57" spans="1:3" x14ac:dyDescent="0.25">
      <c r="A57" t="s">
        <v>45</v>
      </c>
      <c r="B57" t="s">
        <v>487</v>
      </c>
      <c r="C57" t="s">
        <v>47</v>
      </c>
    </row>
    <row r="58" spans="1:3" x14ac:dyDescent="0.25">
      <c r="A58" t="s">
        <v>45</v>
      </c>
      <c r="B58" t="s">
        <v>219</v>
      </c>
      <c r="C58" t="s">
        <v>47</v>
      </c>
    </row>
    <row r="59" spans="1:3" x14ac:dyDescent="0.25">
      <c r="A59" t="s">
        <v>45</v>
      </c>
      <c r="B59" t="s">
        <v>351</v>
      </c>
      <c r="C59" t="s">
        <v>47</v>
      </c>
    </row>
    <row r="60" spans="1:3" x14ac:dyDescent="0.25">
      <c r="A60" t="s">
        <v>45</v>
      </c>
      <c r="B60" t="s">
        <v>461</v>
      </c>
      <c r="C60" t="s">
        <v>47</v>
      </c>
    </row>
    <row r="61" spans="1:3" x14ac:dyDescent="0.25">
      <c r="A61" t="s">
        <v>45</v>
      </c>
      <c r="B61" t="s">
        <v>74</v>
      </c>
      <c r="C61" t="s">
        <v>47</v>
      </c>
    </row>
    <row r="62" spans="1:3" x14ac:dyDescent="0.25">
      <c r="A62" t="s">
        <v>45</v>
      </c>
      <c r="B62" t="s">
        <v>76</v>
      </c>
      <c r="C62" t="s">
        <v>47</v>
      </c>
    </row>
    <row r="63" spans="1:3" x14ac:dyDescent="0.25">
      <c r="A63" t="s">
        <v>45</v>
      </c>
      <c r="B63" t="s">
        <v>221</v>
      </c>
      <c r="C63" t="s">
        <v>47</v>
      </c>
    </row>
    <row r="64" spans="1:3" x14ac:dyDescent="0.25">
      <c r="A64" t="s">
        <v>45</v>
      </c>
      <c r="B64" t="s">
        <v>353</v>
      </c>
      <c r="C64" t="s">
        <v>47</v>
      </c>
    </row>
    <row r="65" spans="1:3" x14ac:dyDescent="0.25">
      <c r="A65" t="s">
        <v>45</v>
      </c>
      <c r="B65" t="s">
        <v>46</v>
      </c>
      <c r="C65" t="s">
        <v>47</v>
      </c>
    </row>
    <row r="66" spans="1:3" x14ac:dyDescent="0.25">
      <c r="A66" t="s">
        <v>45</v>
      </c>
      <c r="B66" t="s">
        <v>194</v>
      </c>
      <c r="C66" t="s">
        <v>47</v>
      </c>
    </row>
    <row r="67" spans="1:3" x14ac:dyDescent="0.25">
      <c r="A67" t="s">
        <v>45</v>
      </c>
      <c r="B67" t="s">
        <v>330</v>
      </c>
      <c r="C67" t="s">
        <v>47</v>
      </c>
    </row>
    <row r="68" spans="1:3" x14ac:dyDescent="0.25">
      <c r="A68" t="s">
        <v>45</v>
      </c>
      <c r="B68" t="s">
        <v>473</v>
      </c>
      <c r="C68" t="s">
        <v>47</v>
      </c>
    </row>
    <row r="69" spans="1:3" x14ac:dyDescent="0.25">
      <c r="A69" t="s">
        <v>45</v>
      </c>
      <c r="B69" t="s">
        <v>476</v>
      </c>
      <c r="C69" t="s">
        <v>47</v>
      </c>
    </row>
    <row r="70" spans="1:3" x14ac:dyDescent="0.25">
      <c r="A70" t="s">
        <v>45</v>
      </c>
      <c r="B70" t="s">
        <v>198</v>
      </c>
      <c r="C70" t="s">
        <v>47</v>
      </c>
    </row>
    <row r="71" spans="1:3" x14ac:dyDescent="0.25">
      <c r="A71" t="s">
        <v>45</v>
      </c>
      <c r="B71" t="s">
        <v>200</v>
      </c>
      <c r="C71" t="s">
        <v>47</v>
      </c>
    </row>
    <row r="72" spans="1:3" x14ac:dyDescent="0.25">
      <c r="A72" t="s">
        <v>45</v>
      </c>
      <c r="B72" t="s">
        <v>334</v>
      </c>
      <c r="C72" t="s">
        <v>47</v>
      </c>
    </row>
    <row r="73" spans="1:3" x14ac:dyDescent="0.25">
      <c r="A73" t="s">
        <v>45</v>
      </c>
      <c r="B73" t="s">
        <v>456</v>
      </c>
      <c r="C73" t="s">
        <v>47</v>
      </c>
    </row>
    <row r="74" spans="1:3" x14ac:dyDescent="0.25">
      <c r="A74" t="s">
        <v>45</v>
      </c>
      <c r="B74" t="s">
        <v>59</v>
      </c>
      <c r="C74" t="s">
        <v>47</v>
      </c>
    </row>
    <row r="75" spans="1:3" x14ac:dyDescent="0.25">
      <c r="A75" t="s">
        <v>45</v>
      </c>
      <c r="B75" t="s">
        <v>202</v>
      </c>
      <c r="C75" t="s">
        <v>47</v>
      </c>
    </row>
    <row r="76" spans="1:3" x14ac:dyDescent="0.25">
      <c r="A76" t="s">
        <v>45</v>
      </c>
      <c r="B76" t="s">
        <v>336</v>
      </c>
      <c r="C76" t="s">
        <v>47</v>
      </c>
    </row>
    <row r="77" spans="1:3" x14ac:dyDescent="0.25">
      <c r="A77" t="s">
        <v>45</v>
      </c>
      <c r="B77" t="s">
        <v>191</v>
      </c>
      <c r="C77" t="s">
        <v>178</v>
      </c>
    </row>
    <row r="78" spans="1:3" x14ac:dyDescent="0.25">
      <c r="A78" t="s">
        <v>45</v>
      </c>
      <c r="B78" t="s">
        <v>327</v>
      </c>
      <c r="C78" t="s">
        <v>178</v>
      </c>
    </row>
    <row r="79" spans="1:3" x14ac:dyDescent="0.25">
      <c r="A79" t="s">
        <v>45</v>
      </c>
      <c r="B79" t="s">
        <v>453</v>
      </c>
      <c r="C79" t="s">
        <v>178</v>
      </c>
    </row>
    <row r="80" spans="1:3" x14ac:dyDescent="0.25">
      <c r="A80" t="s">
        <v>45</v>
      </c>
      <c r="B80" t="s">
        <v>614</v>
      </c>
      <c r="C80" t="s">
        <v>178</v>
      </c>
    </row>
    <row r="81" spans="1:3" x14ac:dyDescent="0.25">
      <c r="A81" t="s">
        <v>45</v>
      </c>
      <c r="B81" t="s">
        <v>616</v>
      </c>
      <c r="C81" t="s">
        <v>178</v>
      </c>
    </row>
    <row r="82" spans="1:3" x14ac:dyDescent="0.25">
      <c r="A82" t="s">
        <v>45</v>
      </c>
      <c r="B82" t="s">
        <v>618</v>
      </c>
      <c r="C82" t="s">
        <v>178</v>
      </c>
    </row>
    <row r="83" spans="1:3" x14ac:dyDescent="0.25">
      <c r="A83" t="s">
        <v>45</v>
      </c>
      <c r="B83" t="s">
        <v>620</v>
      </c>
      <c r="C83" t="s">
        <v>178</v>
      </c>
    </row>
    <row r="84" spans="1:3" x14ac:dyDescent="0.25">
      <c r="A84" t="s">
        <v>45</v>
      </c>
      <c r="B84" t="s">
        <v>319</v>
      </c>
      <c r="C84" t="s">
        <v>178</v>
      </c>
    </row>
    <row r="85" spans="1:3" x14ac:dyDescent="0.25">
      <c r="A85" t="s">
        <v>45</v>
      </c>
      <c r="B85" t="s">
        <v>321</v>
      </c>
      <c r="C85" t="s">
        <v>178</v>
      </c>
    </row>
    <row r="86" spans="1:3" x14ac:dyDescent="0.25">
      <c r="A86" t="s">
        <v>45</v>
      </c>
      <c r="B86" t="s">
        <v>449</v>
      </c>
      <c r="C86" t="s">
        <v>178</v>
      </c>
    </row>
    <row r="87" spans="1:3" x14ac:dyDescent="0.25">
      <c r="A87" t="s">
        <v>45</v>
      </c>
      <c r="B87" t="s">
        <v>471</v>
      </c>
      <c r="C87" t="s">
        <v>178</v>
      </c>
    </row>
    <row r="88" spans="1:3" x14ac:dyDescent="0.25">
      <c r="A88" t="s">
        <v>45</v>
      </c>
      <c r="B88" t="s">
        <v>189</v>
      </c>
      <c r="C88" t="s">
        <v>178</v>
      </c>
    </row>
    <row r="89" spans="1:3" x14ac:dyDescent="0.25">
      <c r="A89" t="s">
        <v>45</v>
      </c>
      <c r="B89" t="s">
        <v>323</v>
      </c>
      <c r="C89" t="s">
        <v>178</v>
      </c>
    </row>
    <row r="90" spans="1:3" x14ac:dyDescent="0.25">
      <c r="A90" t="s">
        <v>45</v>
      </c>
      <c r="B90" t="s">
        <v>325</v>
      </c>
      <c r="C90" t="s">
        <v>178</v>
      </c>
    </row>
    <row r="91" spans="1:3" x14ac:dyDescent="0.25">
      <c r="A91" t="s">
        <v>45</v>
      </c>
      <c r="B91" t="s">
        <v>451</v>
      </c>
      <c r="C91" t="s">
        <v>178</v>
      </c>
    </row>
    <row r="92" spans="1:3" x14ac:dyDescent="0.25">
      <c r="A92" t="s">
        <v>45</v>
      </c>
      <c r="B92" t="s">
        <v>489</v>
      </c>
      <c r="C92" t="s">
        <v>47</v>
      </c>
    </row>
    <row r="93" spans="1:3" x14ac:dyDescent="0.25">
      <c r="A93" t="s">
        <v>45</v>
      </c>
      <c r="B93" t="s">
        <v>491</v>
      </c>
      <c r="C93" t="s">
        <v>47</v>
      </c>
    </row>
    <row r="94" spans="1:3" x14ac:dyDescent="0.25">
      <c r="A94" t="s">
        <v>45</v>
      </c>
      <c r="B94" t="s">
        <v>223</v>
      </c>
      <c r="C94" t="s">
        <v>47</v>
      </c>
    </row>
    <row r="95" spans="1:3" x14ac:dyDescent="0.25">
      <c r="A95" t="s">
        <v>45</v>
      </c>
      <c r="B95" t="s">
        <v>225</v>
      </c>
      <c r="C95" t="s">
        <v>47</v>
      </c>
    </row>
    <row r="96" spans="1:3" x14ac:dyDescent="0.25">
      <c r="A96" t="s">
        <v>45</v>
      </c>
      <c r="B96" t="s">
        <v>355</v>
      </c>
      <c r="C96" t="s">
        <v>47</v>
      </c>
    </row>
    <row r="97" spans="1:3" x14ac:dyDescent="0.25">
      <c r="A97" t="s">
        <v>45</v>
      </c>
      <c r="B97" t="s">
        <v>463</v>
      </c>
      <c r="C97" t="s">
        <v>47</v>
      </c>
    </row>
    <row r="98" spans="1:3" x14ac:dyDescent="0.25">
      <c r="A98" t="s">
        <v>45</v>
      </c>
      <c r="B98" t="s">
        <v>80</v>
      </c>
      <c r="C98" t="s">
        <v>47</v>
      </c>
    </row>
    <row r="99" spans="1:3" x14ac:dyDescent="0.25">
      <c r="A99" t="s">
        <v>45</v>
      </c>
      <c r="B99" t="s">
        <v>227</v>
      </c>
      <c r="C99" t="s">
        <v>47</v>
      </c>
    </row>
    <row r="100" spans="1:3" x14ac:dyDescent="0.25">
      <c r="A100" t="s">
        <v>45</v>
      </c>
      <c r="B100" t="s">
        <v>357</v>
      </c>
      <c r="C100" t="s">
        <v>47</v>
      </c>
    </row>
    <row r="101" spans="1:3" x14ac:dyDescent="0.25">
      <c r="A101" t="s">
        <v>45</v>
      </c>
      <c r="B101" t="s">
        <v>131</v>
      </c>
      <c r="C101" t="s">
        <v>92</v>
      </c>
    </row>
    <row r="102" spans="1:3" x14ac:dyDescent="0.25">
      <c r="A102" t="s">
        <v>45</v>
      </c>
      <c r="B102" t="s">
        <v>135</v>
      </c>
      <c r="C102" t="s">
        <v>92</v>
      </c>
    </row>
    <row r="103" spans="1:3" x14ac:dyDescent="0.25">
      <c r="A103" t="s">
        <v>45</v>
      </c>
      <c r="B103" t="s">
        <v>137</v>
      </c>
      <c r="C103" t="s">
        <v>92</v>
      </c>
    </row>
    <row r="104" spans="1:3" x14ac:dyDescent="0.25">
      <c r="A104" t="s">
        <v>45</v>
      </c>
      <c r="B104" t="s">
        <v>140</v>
      </c>
      <c r="C104" t="s">
        <v>92</v>
      </c>
    </row>
    <row r="105" spans="1:3" x14ac:dyDescent="0.25">
      <c r="A105" t="s">
        <v>45</v>
      </c>
      <c r="B105" t="s">
        <v>142</v>
      </c>
      <c r="C105" t="s">
        <v>92</v>
      </c>
    </row>
    <row r="106" spans="1:3" x14ac:dyDescent="0.25">
      <c r="A106" t="s">
        <v>45</v>
      </c>
      <c r="B106" t="s">
        <v>145</v>
      </c>
      <c r="C106" t="s">
        <v>92</v>
      </c>
    </row>
    <row r="107" spans="1:3" x14ac:dyDescent="0.25">
      <c r="A107" t="s">
        <v>45</v>
      </c>
      <c r="B107" t="s">
        <v>260</v>
      </c>
      <c r="C107" t="s">
        <v>92</v>
      </c>
    </row>
    <row r="108" spans="1:3" x14ac:dyDescent="0.25">
      <c r="A108" t="s">
        <v>45</v>
      </c>
      <c r="B108" t="s">
        <v>405</v>
      </c>
      <c r="C108" t="s">
        <v>92</v>
      </c>
    </row>
    <row r="109" spans="1:3" x14ac:dyDescent="0.25">
      <c r="A109" t="s">
        <v>45</v>
      </c>
      <c r="B109" t="s">
        <v>408</v>
      </c>
      <c r="C109" t="s">
        <v>92</v>
      </c>
    </row>
    <row r="110" spans="1:3" x14ac:dyDescent="0.25">
      <c r="A110" t="s">
        <v>45</v>
      </c>
      <c r="B110" t="s">
        <v>398</v>
      </c>
      <c r="C110" t="s">
        <v>92</v>
      </c>
    </row>
    <row r="111" spans="1:3" x14ac:dyDescent="0.25">
      <c r="A111" t="s">
        <v>45</v>
      </c>
      <c r="B111" t="s">
        <v>400</v>
      </c>
      <c r="C111" t="s">
        <v>92</v>
      </c>
    </row>
    <row r="112" spans="1:3" x14ac:dyDescent="0.25">
      <c r="A112" t="s">
        <v>45</v>
      </c>
      <c r="B112" t="s">
        <v>403</v>
      </c>
      <c r="C112" t="s">
        <v>92</v>
      </c>
    </row>
    <row r="113" spans="1:3" x14ac:dyDescent="0.25">
      <c r="A113" t="s">
        <v>45</v>
      </c>
      <c r="B113" t="s">
        <v>113</v>
      </c>
      <c r="C113" t="s">
        <v>92</v>
      </c>
    </row>
    <row r="114" spans="1:3" x14ac:dyDescent="0.25">
      <c r="A114" t="s">
        <v>45</v>
      </c>
      <c r="B114" t="s">
        <v>520</v>
      </c>
      <c r="C114" t="s">
        <v>92</v>
      </c>
    </row>
    <row r="115" spans="1:3" x14ac:dyDescent="0.25">
      <c r="A115" t="s">
        <v>45</v>
      </c>
      <c r="B115" t="s">
        <v>523</v>
      </c>
      <c r="C115" t="s">
        <v>92</v>
      </c>
    </row>
    <row r="116" spans="1:3" x14ac:dyDescent="0.25">
      <c r="A116" t="s">
        <v>45</v>
      </c>
      <c r="B116" t="s">
        <v>526</v>
      </c>
      <c r="C116" t="s">
        <v>92</v>
      </c>
    </row>
    <row r="117" spans="1:3" x14ac:dyDescent="0.25">
      <c r="A117" t="s">
        <v>45</v>
      </c>
      <c r="B117" t="s">
        <v>174</v>
      </c>
      <c r="C117" t="s">
        <v>92</v>
      </c>
    </row>
    <row r="118" spans="1:3" x14ac:dyDescent="0.25">
      <c r="A118" t="s">
        <v>45</v>
      </c>
      <c r="B118" t="s">
        <v>298</v>
      </c>
      <c r="C118" t="s">
        <v>92</v>
      </c>
    </row>
    <row r="119" spans="1:3" x14ac:dyDescent="0.25">
      <c r="A119" t="s">
        <v>45</v>
      </c>
      <c r="B119" t="s">
        <v>540</v>
      </c>
      <c r="C119" t="s">
        <v>92</v>
      </c>
    </row>
    <row r="120" spans="1:3" x14ac:dyDescent="0.25">
      <c r="A120" t="s">
        <v>45</v>
      </c>
      <c r="B120" t="s">
        <v>555</v>
      </c>
      <c r="C120" t="s">
        <v>92</v>
      </c>
    </row>
    <row r="121" spans="1:3" x14ac:dyDescent="0.25">
      <c r="A121" t="s">
        <v>45</v>
      </c>
      <c r="B121" t="s">
        <v>151</v>
      </c>
      <c r="C121" t="s">
        <v>92</v>
      </c>
    </row>
    <row r="122" spans="1:3" x14ac:dyDescent="0.25">
      <c r="A122" t="s">
        <v>45</v>
      </c>
      <c r="B122" t="s">
        <v>263</v>
      </c>
      <c r="C122" t="s">
        <v>92</v>
      </c>
    </row>
    <row r="123" spans="1:3" x14ac:dyDescent="0.25">
      <c r="A123" t="s">
        <v>45</v>
      </c>
      <c r="B123" t="s">
        <v>561</v>
      </c>
      <c r="C123" t="s">
        <v>92</v>
      </c>
    </row>
    <row r="124" spans="1:3" x14ac:dyDescent="0.25">
      <c r="A124" t="s">
        <v>45</v>
      </c>
      <c r="B124" t="s">
        <v>564</v>
      </c>
      <c r="C124" t="s">
        <v>92</v>
      </c>
    </row>
    <row r="125" spans="1:3" x14ac:dyDescent="0.25">
      <c r="A125" t="s">
        <v>45</v>
      </c>
      <c r="B125" t="s">
        <v>148</v>
      </c>
      <c r="C125" t="s">
        <v>92</v>
      </c>
    </row>
    <row r="126" spans="1:3" x14ac:dyDescent="0.25">
      <c r="A126" t="s">
        <v>45</v>
      </c>
      <c r="B126" t="s">
        <v>538</v>
      </c>
      <c r="C126" t="s">
        <v>92</v>
      </c>
    </row>
    <row r="127" spans="1:3" x14ac:dyDescent="0.25">
      <c r="A127" t="s">
        <v>45</v>
      </c>
      <c r="B127" t="s">
        <v>529</v>
      </c>
      <c r="C127" t="s">
        <v>92</v>
      </c>
    </row>
    <row r="128" spans="1:3" x14ac:dyDescent="0.25">
      <c r="A128" t="s">
        <v>45</v>
      </c>
      <c r="B128" t="s">
        <v>532</v>
      </c>
      <c r="C128" t="s">
        <v>92</v>
      </c>
    </row>
    <row r="129" spans="1:3" x14ac:dyDescent="0.25">
      <c r="A129" t="s">
        <v>45</v>
      </c>
      <c r="B129" t="s">
        <v>535</v>
      </c>
      <c r="C129" t="s">
        <v>92</v>
      </c>
    </row>
    <row r="130" spans="1:3" x14ac:dyDescent="0.25">
      <c r="A130" t="s">
        <v>45</v>
      </c>
      <c r="B130" t="s">
        <v>572</v>
      </c>
      <c r="C130" t="s">
        <v>92</v>
      </c>
    </row>
    <row r="131" spans="1:3" x14ac:dyDescent="0.25">
      <c r="A131" t="s">
        <v>45</v>
      </c>
      <c r="B131" t="s">
        <v>575</v>
      </c>
      <c r="C131" t="s">
        <v>92</v>
      </c>
    </row>
    <row r="132" spans="1:3" x14ac:dyDescent="0.25">
      <c r="A132" t="s">
        <v>45</v>
      </c>
      <c r="B132" t="s">
        <v>578</v>
      </c>
      <c r="C132" t="s">
        <v>92</v>
      </c>
    </row>
    <row r="133" spans="1:3" x14ac:dyDescent="0.25">
      <c r="A133" t="s">
        <v>45</v>
      </c>
      <c r="B133" t="s">
        <v>581</v>
      </c>
      <c r="C133" t="s">
        <v>92</v>
      </c>
    </row>
    <row r="134" spans="1:3" x14ac:dyDescent="0.25">
      <c r="A134" t="s">
        <v>45</v>
      </c>
      <c r="B134" t="s">
        <v>153</v>
      </c>
      <c r="C134" t="s">
        <v>92</v>
      </c>
    </row>
    <row r="135" spans="1:3" x14ac:dyDescent="0.25">
      <c r="A135" t="s">
        <v>45</v>
      </c>
      <c r="B135" t="s">
        <v>584</v>
      </c>
      <c r="C135" t="s">
        <v>92</v>
      </c>
    </row>
    <row r="136" spans="1:3" x14ac:dyDescent="0.25">
      <c r="A136" t="s">
        <v>45</v>
      </c>
      <c r="B136" t="s">
        <v>586</v>
      </c>
      <c r="C136" t="s">
        <v>92</v>
      </c>
    </row>
    <row r="137" spans="1:3" x14ac:dyDescent="0.25">
      <c r="A137" t="s">
        <v>45</v>
      </c>
      <c r="B137" t="s">
        <v>160</v>
      </c>
      <c r="C137" t="s">
        <v>92</v>
      </c>
    </row>
    <row r="138" spans="1:3" x14ac:dyDescent="0.25">
      <c r="A138" t="s">
        <v>45</v>
      </c>
      <c r="B138" t="s">
        <v>167</v>
      </c>
      <c r="C138" t="s">
        <v>92</v>
      </c>
    </row>
    <row r="139" spans="1:3" x14ac:dyDescent="0.25">
      <c r="A139" t="s">
        <v>45</v>
      </c>
      <c r="B139" t="s">
        <v>275</v>
      </c>
      <c r="C139" t="s">
        <v>92</v>
      </c>
    </row>
    <row r="140" spans="1:3" x14ac:dyDescent="0.25">
      <c r="A140" t="s">
        <v>45</v>
      </c>
      <c r="B140" t="s">
        <v>278</v>
      </c>
      <c r="C140" t="s">
        <v>92</v>
      </c>
    </row>
    <row r="141" spans="1:3" x14ac:dyDescent="0.25">
      <c r="A141" t="s">
        <v>45</v>
      </c>
      <c r="B141" t="s">
        <v>426</v>
      </c>
      <c r="C141" t="s">
        <v>92</v>
      </c>
    </row>
    <row r="142" spans="1:3" x14ac:dyDescent="0.25">
      <c r="A142" t="s">
        <v>45</v>
      </c>
      <c r="B142" t="s">
        <v>429</v>
      </c>
      <c r="C142" t="s">
        <v>92</v>
      </c>
    </row>
    <row r="143" spans="1:3" x14ac:dyDescent="0.25">
      <c r="A143" t="s">
        <v>45</v>
      </c>
      <c r="B143" t="s">
        <v>592</v>
      </c>
      <c r="C143" t="s">
        <v>92</v>
      </c>
    </row>
    <row r="144" spans="1:3" x14ac:dyDescent="0.25">
      <c r="A144" t="s">
        <v>45</v>
      </c>
      <c r="B144" t="s">
        <v>594</v>
      </c>
      <c r="C144" t="s">
        <v>92</v>
      </c>
    </row>
    <row r="145" spans="1:3" x14ac:dyDescent="0.25">
      <c r="A145" t="s">
        <v>45</v>
      </c>
      <c r="B145" t="s">
        <v>170</v>
      </c>
      <c r="C145" t="s">
        <v>92</v>
      </c>
    </row>
    <row r="146" spans="1:3" x14ac:dyDescent="0.25">
      <c r="A146" t="s">
        <v>45</v>
      </c>
      <c r="B146" t="s">
        <v>281</v>
      </c>
      <c r="C146" t="s">
        <v>92</v>
      </c>
    </row>
    <row r="147" spans="1:3" x14ac:dyDescent="0.25">
      <c r="A147" t="s">
        <v>45</v>
      </c>
      <c r="B147" t="s">
        <v>432</v>
      </c>
      <c r="C147" t="s">
        <v>92</v>
      </c>
    </row>
    <row r="148" spans="1:3" x14ac:dyDescent="0.25">
      <c r="A148" t="s">
        <v>45</v>
      </c>
      <c r="B148" t="s">
        <v>599</v>
      </c>
      <c r="C148" t="s">
        <v>92</v>
      </c>
    </row>
    <row r="149" spans="1:3" x14ac:dyDescent="0.25">
      <c r="A149" t="s">
        <v>45</v>
      </c>
      <c r="B149" t="s">
        <v>493</v>
      </c>
      <c r="C149" t="s">
        <v>47</v>
      </c>
    </row>
    <row r="150" spans="1:3" x14ac:dyDescent="0.25">
      <c r="A150" t="s">
        <v>45</v>
      </c>
      <c r="B150" t="s">
        <v>84</v>
      </c>
      <c r="C150" t="s">
        <v>47</v>
      </c>
    </row>
    <row r="151" spans="1:3" x14ac:dyDescent="0.25">
      <c r="A151" t="s">
        <v>45</v>
      </c>
      <c r="B151" t="s">
        <v>87</v>
      </c>
      <c r="C151" t="s">
        <v>47</v>
      </c>
    </row>
    <row r="152" spans="1:3" x14ac:dyDescent="0.25">
      <c r="A152" t="s">
        <v>45</v>
      </c>
      <c r="B152" t="s">
        <v>229</v>
      </c>
      <c r="C152" t="s">
        <v>47</v>
      </c>
    </row>
    <row r="153" spans="1:3" x14ac:dyDescent="0.25">
      <c r="A153" t="s">
        <v>45</v>
      </c>
      <c r="B153" t="s">
        <v>359</v>
      </c>
      <c r="C153" t="s">
        <v>47</v>
      </c>
    </row>
    <row r="154" spans="1:3" x14ac:dyDescent="0.25">
      <c r="A154" t="s">
        <v>45</v>
      </c>
      <c r="B154" t="s">
        <v>495</v>
      </c>
      <c r="C154" t="s">
        <v>47</v>
      </c>
    </row>
    <row r="155" spans="1:3" x14ac:dyDescent="0.25">
      <c r="A155" t="s">
        <v>45</v>
      </c>
      <c r="B155" t="s">
        <v>231</v>
      </c>
      <c r="C155" t="s">
        <v>47</v>
      </c>
    </row>
    <row r="156" spans="1:3" x14ac:dyDescent="0.25">
      <c r="A156" t="s">
        <v>45</v>
      </c>
      <c r="B156" t="s">
        <v>233</v>
      </c>
      <c r="C156" t="s">
        <v>47</v>
      </c>
    </row>
    <row r="157" spans="1:3" x14ac:dyDescent="0.25">
      <c r="A157" t="s">
        <v>45</v>
      </c>
      <c r="B157" t="s">
        <v>361</v>
      </c>
      <c r="C157" t="s">
        <v>47</v>
      </c>
    </row>
    <row r="158" spans="1:3" x14ac:dyDescent="0.25">
      <c r="A158" t="s">
        <v>45</v>
      </c>
      <c r="B158" t="s">
        <v>465</v>
      </c>
      <c r="C158" t="s">
        <v>47</v>
      </c>
    </row>
    <row r="159" spans="1:3" x14ac:dyDescent="0.25">
      <c r="A159" t="s">
        <v>45</v>
      </c>
      <c r="B159" t="s">
        <v>89</v>
      </c>
      <c r="C159" t="s">
        <v>47</v>
      </c>
    </row>
    <row r="160" spans="1:3" x14ac:dyDescent="0.25">
      <c r="A160" t="s">
        <v>45</v>
      </c>
      <c r="B160" t="s">
        <v>235</v>
      </c>
      <c r="C160" t="s">
        <v>47</v>
      </c>
    </row>
    <row r="161" spans="1:3" x14ac:dyDescent="0.25">
      <c r="A161" t="s">
        <v>45</v>
      </c>
      <c r="B161" t="s">
        <v>363</v>
      </c>
      <c r="C161" t="s">
        <v>47</v>
      </c>
    </row>
    <row r="162" spans="1:3" x14ac:dyDescent="0.25">
      <c r="A162" t="s">
        <v>45</v>
      </c>
      <c r="B162" t="s">
        <v>284</v>
      </c>
      <c r="C162" t="s">
        <v>92</v>
      </c>
    </row>
    <row r="163" spans="1:3" x14ac:dyDescent="0.25">
      <c r="A163" t="s">
        <v>45</v>
      </c>
      <c r="B163" t="s">
        <v>287</v>
      </c>
      <c r="C163" t="s">
        <v>92</v>
      </c>
    </row>
    <row r="164" spans="1:3" x14ac:dyDescent="0.25">
      <c r="A164" t="s">
        <v>45</v>
      </c>
      <c r="B164" t="s">
        <v>289</v>
      </c>
      <c r="C164" t="s">
        <v>92</v>
      </c>
    </row>
    <row r="165" spans="1:3" x14ac:dyDescent="0.25">
      <c r="A165" t="s">
        <v>45</v>
      </c>
      <c r="B165" t="s">
        <v>291</v>
      </c>
      <c r="C165" t="s">
        <v>92</v>
      </c>
    </row>
    <row r="166" spans="1:3" x14ac:dyDescent="0.25">
      <c r="A166" t="s">
        <v>45</v>
      </c>
      <c r="B166" t="s">
        <v>294</v>
      </c>
      <c r="C166"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3"/>
  <sheetViews>
    <sheetView workbookViewId="0">
      <selection sqref="A1:E293"/>
    </sheetView>
  </sheetViews>
  <sheetFormatPr defaultRowHeight="15" x14ac:dyDescent="0.25"/>
  <sheetData>
    <row r="1" spans="1:5" x14ac:dyDescent="0.25">
      <c r="A1" t="s">
        <v>627</v>
      </c>
      <c r="B1" t="s">
        <v>628</v>
      </c>
      <c r="C1" t="s">
        <v>629</v>
      </c>
      <c r="D1" t="s">
        <v>1056</v>
      </c>
      <c r="E1" t="s">
        <v>1057</v>
      </c>
    </row>
    <row r="2" spans="1:5" x14ac:dyDescent="0.25">
      <c r="A2" t="s">
        <v>45</v>
      </c>
      <c r="B2" t="s">
        <v>91</v>
      </c>
      <c r="C2" t="s">
        <v>92</v>
      </c>
      <c r="D2">
        <v>604</v>
      </c>
      <c r="E2" t="s">
        <v>1058</v>
      </c>
    </row>
    <row r="3" spans="1:5" x14ac:dyDescent="0.25">
      <c r="A3" t="s">
        <v>45</v>
      </c>
      <c r="B3" t="s">
        <v>91</v>
      </c>
      <c r="C3" t="s">
        <v>92</v>
      </c>
      <c r="D3">
        <v>3250</v>
      </c>
      <c r="E3" t="s">
        <v>1059</v>
      </c>
    </row>
    <row r="4" spans="1:5" x14ac:dyDescent="0.25">
      <c r="A4" t="s">
        <v>45</v>
      </c>
      <c r="B4" t="s">
        <v>237</v>
      </c>
      <c r="C4" t="s">
        <v>92</v>
      </c>
      <c r="D4">
        <v>790</v>
      </c>
      <c r="E4" t="s">
        <v>1060</v>
      </c>
    </row>
    <row r="5" spans="1:5" x14ac:dyDescent="0.25">
      <c r="A5" t="s">
        <v>45</v>
      </c>
      <c r="B5" t="s">
        <v>237</v>
      </c>
      <c r="C5" t="s">
        <v>92</v>
      </c>
      <c r="D5">
        <v>2336</v>
      </c>
      <c r="E5" t="s">
        <v>1061</v>
      </c>
    </row>
    <row r="6" spans="1:5" x14ac:dyDescent="0.25">
      <c r="A6" t="s">
        <v>45</v>
      </c>
      <c r="B6" t="s">
        <v>237</v>
      </c>
      <c r="C6" t="s">
        <v>92</v>
      </c>
      <c r="D6">
        <v>2858</v>
      </c>
      <c r="E6" t="s">
        <v>1062</v>
      </c>
    </row>
    <row r="7" spans="1:5" x14ac:dyDescent="0.25">
      <c r="A7" t="s">
        <v>45</v>
      </c>
      <c r="B7" t="s">
        <v>97</v>
      </c>
      <c r="C7" t="s">
        <v>92</v>
      </c>
      <c r="D7">
        <v>7457</v>
      </c>
      <c r="E7" t="s">
        <v>1063</v>
      </c>
    </row>
    <row r="8" spans="1:5" x14ac:dyDescent="0.25">
      <c r="A8" t="s">
        <v>45</v>
      </c>
      <c r="B8" t="s">
        <v>240</v>
      </c>
      <c r="C8" t="s">
        <v>92</v>
      </c>
      <c r="D8">
        <v>1022</v>
      </c>
      <c r="E8" t="s">
        <v>1064</v>
      </c>
    </row>
    <row r="9" spans="1:5" x14ac:dyDescent="0.25">
      <c r="A9" t="s">
        <v>45</v>
      </c>
      <c r="B9" t="s">
        <v>367</v>
      </c>
      <c r="C9" t="s">
        <v>92</v>
      </c>
      <c r="D9">
        <v>1661</v>
      </c>
      <c r="E9" t="s">
        <v>1065</v>
      </c>
    </row>
    <row r="10" spans="1:5" x14ac:dyDescent="0.25">
      <c r="A10" t="s">
        <v>45</v>
      </c>
      <c r="B10" t="s">
        <v>367</v>
      </c>
      <c r="C10" t="s">
        <v>92</v>
      </c>
      <c r="D10">
        <v>6141</v>
      </c>
      <c r="E10" t="s">
        <v>1066</v>
      </c>
    </row>
    <row r="11" spans="1:5" x14ac:dyDescent="0.25">
      <c r="A11" t="s">
        <v>45</v>
      </c>
      <c r="B11" t="s">
        <v>367</v>
      </c>
      <c r="C11" t="s">
        <v>92</v>
      </c>
      <c r="D11">
        <v>8561</v>
      </c>
      <c r="E11" t="s">
        <v>1067</v>
      </c>
    </row>
    <row r="12" spans="1:5" x14ac:dyDescent="0.25">
      <c r="A12" t="s">
        <v>45</v>
      </c>
      <c r="B12" t="s">
        <v>367</v>
      </c>
      <c r="C12" t="s">
        <v>92</v>
      </c>
      <c r="D12">
        <v>10975</v>
      </c>
      <c r="E12" t="s">
        <v>1068</v>
      </c>
    </row>
    <row r="13" spans="1:5" x14ac:dyDescent="0.25">
      <c r="A13" t="s">
        <v>45</v>
      </c>
      <c r="B13" t="s">
        <v>367</v>
      </c>
      <c r="C13" t="s">
        <v>92</v>
      </c>
      <c r="D13">
        <v>15155</v>
      </c>
      <c r="E13" t="s">
        <v>1069</v>
      </c>
    </row>
    <row r="14" spans="1:5" x14ac:dyDescent="0.25">
      <c r="A14" t="s">
        <v>45</v>
      </c>
      <c r="B14" t="s">
        <v>367</v>
      </c>
      <c r="C14" t="s">
        <v>92</v>
      </c>
      <c r="D14">
        <v>17600</v>
      </c>
      <c r="E14" t="s">
        <v>1070</v>
      </c>
    </row>
    <row r="15" spans="1:5" x14ac:dyDescent="0.25">
      <c r="A15" t="s">
        <v>45</v>
      </c>
      <c r="B15" t="s">
        <v>367</v>
      </c>
      <c r="C15" t="s">
        <v>92</v>
      </c>
      <c r="D15">
        <v>20044</v>
      </c>
      <c r="E15" t="s">
        <v>1071</v>
      </c>
    </row>
    <row r="16" spans="1:5" x14ac:dyDescent="0.25">
      <c r="A16" t="s">
        <v>45</v>
      </c>
      <c r="B16" t="s">
        <v>367</v>
      </c>
      <c r="C16" t="s">
        <v>92</v>
      </c>
      <c r="D16">
        <v>24229</v>
      </c>
      <c r="E16" t="s">
        <v>1072</v>
      </c>
    </row>
    <row r="17" spans="1:5" x14ac:dyDescent="0.25">
      <c r="A17" t="s">
        <v>45</v>
      </c>
      <c r="B17" t="s">
        <v>367</v>
      </c>
      <c r="C17" t="s">
        <v>92</v>
      </c>
      <c r="D17">
        <v>26705</v>
      </c>
      <c r="E17" t="s">
        <v>1073</v>
      </c>
    </row>
    <row r="18" spans="1:5" x14ac:dyDescent="0.25">
      <c r="A18" t="s">
        <v>45</v>
      </c>
      <c r="B18" t="s">
        <v>367</v>
      </c>
      <c r="C18" t="s">
        <v>92</v>
      </c>
      <c r="D18">
        <v>29204</v>
      </c>
      <c r="E18" t="s">
        <v>1074</v>
      </c>
    </row>
    <row r="19" spans="1:5" x14ac:dyDescent="0.25">
      <c r="A19" t="s">
        <v>45</v>
      </c>
      <c r="B19" t="s">
        <v>367</v>
      </c>
      <c r="C19" t="s">
        <v>92</v>
      </c>
      <c r="D19">
        <v>31604</v>
      </c>
      <c r="E19" t="s">
        <v>1075</v>
      </c>
    </row>
    <row r="20" spans="1:5" x14ac:dyDescent="0.25">
      <c r="A20" t="s">
        <v>45</v>
      </c>
      <c r="B20" t="s">
        <v>367</v>
      </c>
      <c r="C20" t="s">
        <v>92</v>
      </c>
      <c r="D20">
        <v>31914</v>
      </c>
      <c r="E20" t="s">
        <v>1076</v>
      </c>
    </row>
    <row r="21" spans="1:5" x14ac:dyDescent="0.25">
      <c r="A21" t="s">
        <v>45</v>
      </c>
      <c r="B21" t="s">
        <v>367</v>
      </c>
      <c r="C21" t="s">
        <v>92</v>
      </c>
      <c r="D21">
        <v>34473</v>
      </c>
      <c r="E21" t="s">
        <v>1077</v>
      </c>
    </row>
    <row r="22" spans="1:5" x14ac:dyDescent="0.25">
      <c r="A22" t="s">
        <v>45</v>
      </c>
      <c r="B22" t="s">
        <v>367</v>
      </c>
      <c r="C22" t="s">
        <v>92</v>
      </c>
      <c r="D22">
        <v>36883</v>
      </c>
      <c r="E22" t="s">
        <v>1078</v>
      </c>
    </row>
    <row r="23" spans="1:5" x14ac:dyDescent="0.25">
      <c r="A23" t="s">
        <v>45</v>
      </c>
      <c r="B23" t="s">
        <v>367</v>
      </c>
      <c r="C23" t="s">
        <v>92</v>
      </c>
      <c r="D23">
        <v>39316</v>
      </c>
      <c r="E23" t="s">
        <v>1079</v>
      </c>
    </row>
    <row r="24" spans="1:5" x14ac:dyDescent="0.25">
      <c r="A24" t="s">
        <v>45</v>
      </c>
      <c r="B24" t="s">
        <v>367</v>
      </c>
      <c r="C24" t="s">
        <v>92</v>
      </c>
      <c r="D24">
        <v>43477</v>
      </c>
      <c r="E24" t="s">
        <v>1080</v>
      </c>
    </row>
    <row r="25" spans="1:5" x14ac:dyDescent="0.25">
      <c r="A25" t="s">
        <v>45</v>
      </c>
      <c r="B25" t="s">
        <v>367</v>
      </c>
      <c r="C25" t="s">
        <v>92</v>
      </c>
      <c r="D25">
        <v>51182</v>
      </c>
      <c r="E25" t="s">
        <v>1081</v>
      </c>
    </row>
    <row r="26" spans="1:5" x14ac:dyDescent="0.25">
      <c r="A26" t="s">
        <v>45</v>
      </c>
      <c r="B26" t="s">
        <v>367</v>
      </c>
      <c r="C26" t="s">
        <v>92</v>
      </c>
      <c r="D26">
        <v>58810</v>
      </c>
      <c r="E26" t="s">
        <v>1082</v>
      </c>
    </row>
    <row r="27" spans="1:5" x14ac:dyDescent="0.25">
      <c r="A27" t="s">
        <v>45</v>
      </c>
      <c r="B27" t="s">
        <v>370</v>
      </c>
      <c r="C27" t="s">
        <v>92</v>
      </c>
      <c r="D27">
        <v>1661</v>
      </c>
      <c r="E27" t="s">
        <v>1083</v>
      </c>
    </row>
    <row r="28" spans="1:5" x14ac:dyDescent="0.25">
      <c r="A28" t="s">
        <v>45</v>
      </c>
      <c r="B28" t="s">
        <v>370</v>
      </c>
      <c r="C28" t="s">
        <v>92</v>
      </c>
      <c r="D28">
        <v>6135</v>
      </c>
      <c r="E28" t="s">
        <v>1084</v>
      </c>
    </row>
    <row r="29" spans="1:5" x14ac:dyDescent="0.25">
      <c r="A29" t="s">
        <v>45</v>
      </c>
      <c r="B29" t="s">
        <v>370</v>
      </c>
      <c r="C29" t="s">
        <v>92</v>
      </c>
      <c r="D29">
        <v>8621</v>
      </c>
      <c r="E29" t="s">
        <v>1085</v>
      </c>
    </row>
    <row r="30" spans="1:5" x14ac:dyDescent="0.25">
      <c r="A30" t="s">
        <v>45</v>
      </c>
      <c r="B30" t="s">
        <v>370</v>
      </c>
      <c r="C30" t="s">
        <v>92</v>
      </c>
      <c r="D30">
        <v>11101</v>
      </c>
      <c r="E30" t="s">
        <v>1086</v>
      </c>
    </row>
    <row r="31" spans="1:5" x14ac:dyDescent="0.25">
      <c r="A31" t="s">
        <v>45</v>
      </c>
      <c r="B31" t="s">
        <v>370</v>
      </c>
      <c r="C31" t="s">
        <v>92</v>
      </c>
      <c r="D31">
        <v>15399</v>
      </c>
      <c r="E31" t="s">
        <v>1087</v>
      </c>
    </row>
    <row r="32" spans="1:5" x14ac:dyDescent="0.25">
      <c r="A32" t="s">
        <v>45</v>
      </c>
      <c r="B32" t="s">
        <v>370</v>
      </c>
      <c r="C32" t="s">
        <v>92</v>
      </c>
      <c r="D32">
        <v>17910</v>
      </c>
      <c r="E32" t="s">
        <v>1088</v>
      </c>
    </row>
    <row r="33" spans="1:5" x14ac:dyDescent="0.25">
      <c r="A33" t="s">
        <v>45</v>
      </c>
      <c r="B33" t="s">
        <v>370</v>
      </c>
      <c r="C33" t="s">
        <v>92</v>
      </c>
      <c r="D33">
        <v>20420</v>
      </c>
      <c r="E33" t="s">
        <v>1089</v>
      </c>
    </row>
    <row r="34" spans="1:5" x14ac:dyDescent="0.25">
      <c r="A34" t="s">
        <v>45</v>
      </c>
      <c r="B34" t="s">
        <v>370</v>
      </c>
      <c r="C34" t="s">
        <v>92</v>
      </c>
      <c r="D34">
        <v>24726</v>
      </c>
      <c r="E34" t="s">
        <v>1090</v>
      </c>
    </row>
    <row r="35" spans="1:5" x14ac:dyDescent="0.25">
      <c r="A35" t="s">
        <v>45</v>
      </c>
      <c r="B35" t="s">
        <v>370</v>
      </c>
      <c r="C35" t="s">
        <v>92</v>
      </c>
      <c r="D35">
        <v>27147</v>
      </c>
      <c r="E35" t="s">
        <v>1091</v>
      </c>
    </row>
    <row r="36" spans="1:5" x14ac:dyDescent="0.25">
      <c r="A36" t="s">
        <v>45</v>
      </c>
      <c r="B36" t="s">
        <v>370</v>
      </c>
      <c r="C36" t="s">
        <v>92</v>
      </c>
      <c r="D36">
        <v>29562</v>
      </c>
      <c r="E36" t="s">
        <v>1092</v>
      </c>
    </row>
    <row r="37" spans="1:5" x14ac:dyDescent="0.25">
      <c r="A37" t="s">
        <v>45</v>
      </c>
      <c r="B37" t="s">
        <v>370</v>
      </c>
      <c r="C37" t="s">
        <v>92</v>
      </c>
      <c r="D37">
        <v>33741</v>
      </c>
      <c r="E37" t="s">
        <v>1077</v>
      </c>
    </row>
    <row r="38" spans="1:5" x14ac:dyDescent="0.25">
      <c r="A38" t="s">
        <v>45</v>
      </c>
      <c r="B38" t="s">
        <v>370</v>
      </c>
      <c r="C38" t="s">
        <v>92</v>
      </c>
      <c r="D38">
        <v>36151</v>
      </c>
      <c r="E38" t="s">
        <v>1078</v>
      </c>
    </row>
    <row r="39" spans="1:5" x14ac:dyDescent="0.25">
      <c r="A39" t="s">
        <v>45</v>
      </c>
      <c r="B39" t="s">
        <v>370</v>
      </c>
      <c r="C39" t="s">
        <v>92</v>
      </c>
      <c r="D39">
        <v>38584</v>
      </c>
      <c r="E39" t="s">
        <v>1079</v>
      </c>
    </row>
    <row r="40" spans="1:5" x14ac:dyDescent="0.25">
      <c r="A40" t="s">
        <v>45</v>
      </c>
      <c r="B40" t="s">
        <v>370</v>
      </c>
      <c r="C40" t="s">
        <v>92</v>
      </c>
      <c r="D40">
        <v>42745</v>
      </c>
      <c r="E40" t="s">
        <v>1080</v>
      </c>
    </row>
    <row r="41" spans="1:5" x14ac:dyDescent="0.25">
      <c r="A41" t="s">
        <v>45</v>
      </c>
      <c r="B41" t="s">
        <v>370</v>
      </c>
      <c r="C41" t="s">
        <v>92</v>
      </c>
      <c r="D41">
        <v>50450</v>
      </c>
      <c r="E41" t="s">
        <v>1081</v>
      </c>
    </row>
    <row r="42" spans="1:5" x14ac:dyDescent="0.25">
      <c r="A42" t="s">
        <v>45</v>
      </c>
      <c r="B42" t="s">
        <v>370</v>
      </c>
      <c r="C42" t="s">
        <v>92</v>
      </c>
      <c r="D42">
        <v>58078</v>
      </c>
      <c r="E42" t="s">
        <v>1082</v>
      </c>
    </row>
    <row r="43" spans="1:5" x14ac:dyDescent="0.25">
      <c r="A43" t="s">
        <v>45</v>
      </c>
      <c r="B43" t="s">
        <v>373</v>
      </c>
      <c r="C43" t="s">
        <v>92</v>
      </c>
      <c r="D43">
        <v>1661</v>
      </c>
      <c r="E43" t="s">
        <v>1093</v>
      </c>
    </row>
    <row r="44" spans="1:5" x14ac:dyDescent="0.25">
      <c r="A44" t="s">
        <v>45</v>
      </c>
      <c r="B44" t="s">
        <v>373</v>
      </c>
      <c r="C44" t="s">
        <v>92</v>
      </c>
      <c r="D44">
        <v>6145</v>
      </c>
      <c r="E44" t="s">
        <v>1066</v>
      </c>
    </row>
    <row r="45" spans="1:5" x14ac:dyDescent="0.25">
      <c r="A45" t="s">
        <v>45</v>
      </c>
      <c r="B45" t="s">
        <v>373</v>
      </c>
      <c r="C45" t="s">
        <v>92</v>
      </c>
      <c r="D45">
        <v>8565</v>
      </c>
      <c r="E45" t="s">
        <v>1067</v>
      </c>
    </row>
    <row r="46" spans="1:5" x14ac:dyDescent="0.25">
      <c r="A46" t="s">
        <v>45</v>
      </c>
      <c r="B46" t="s">
        <v>373</v>
      </c>
      <c r="C46" t="s">
        <v>92</v>
      </c>
      <c r="D46">
        <v>10979</v>
      </c>
      <c r="E46" t="s">
        <v>1068</v>
      </c>
    </row>
    <row r="47" spans="1:5" x14ac:dyDescent="0.25">
      <c r="A47" t="s">
        <v>45</v>
      </c>
      <c r="B47" t="s">
        <v>373</v>
      </c>
      <c r="C47" t="s">
        <v>92</v>
      </c>
      <c r="D47">
        <v>15159</v>
      </c>
      <c r="E47" t="s">
        <v>1069</v>
      </c>
    </row>
    <row r="48" spans="1:5" x14ac:dyDescent="0.25">
      <c r="A48" t="s">
        <v>45</v>
      </c>
      <c r="B48" t="s">
        <v>373</v>
      </c>
      <c r="C48" t="s">
        <v>92</v>
      </c>
      <c r="D48">
        <v>17604</v>
      </c>
      <c r="E48" t="s">
        <v>1070</v>
      </c>
    </row>
    <row r="49" spans="1:5" x14ac:dyDescent="0.25">
      <c r="A49" t="s">
        <v>45</v>
      </c>
      <c r="B49" t="s">
        <v>373</v>
      </c>
      <c r="C49" t="s">
        <v>92</v>
      </c>
      <c r="D49">
        <v>20048</v>
      </c>
      <c r="E49" t="s">
        <v>1071</v>
      </c>
    </row>
    <row r="50" spans="1:5" x14ac:dyDescent="0.25">
      <c r="A50" t="s">
        <v>45</v>
      </c>
      <c r="B50" t="s">
        <v>373</v>
      </c>
      <c r="C50" t="s">
        <v>92</v>
      </c>
      <c r="D50">
        <v>24233</v>
      </c>
      <c r="E50" t="s">
        <v>1072</v>
      </c>
    </row>
    <row r="51" spans="1:5" x14ac:dyDescent="0.25">
      <c r="A51" t="s">
        <v>45</v>
      </c>
      <c r="B51" t="s">
        <v>373</v>
      </c>
      <c r="C51" t="s">
        <v>92</v>
      </c>
      <c r="D51">
        <v>26709</v>
      </c>
      <c r="E51" t="s">
        <v>1073</v>
      </c>
    </row>
    <row r="52" spans="1:5" x14ac:dyDescent="0.25">
      <c r="A52" t="s">
        <v>45</v>
      </c>
      <c r="B52" t="s">
        <v>373</v>
      </c>
      <c r="C52" t="s">
        <v>92</v>
      </c>
      <c r="D52">
        <v>29208</v>
      </c>
      <c r="E52" t="s">
        <v>1074</v>
      </c>
    </row>
    <row r="53" spans="1:5" x14ac:dyDescent="0.25">
      <c r="A53" t="s">
        <v>45</v>
      </c>
      <c r="B53" t="s">
        <v>373</v>
      </c>
      <c r="C53" t="s">
        <v>92</v>
      </c>
      <c r="D53">
        <v>31608</v>
      </c>
      <c r="E53" t="s">
        <v>1075</v>
      </c>
    </row>
    <row r="54" spans="1:5" x14ac:dyDescent="0.25">
      <c r="A54" t="s">
        <v>45</v>
      </c>
      <c r="B54" t="s">
        <v>373</v>
      </c>
      <c r="C54" t="s">
        <v>92</v>
      </c>
      <c r="D54">
        <v>31918</v>
      </c>
      <c r="E54" t="s">
        <v>1076</v>
      </c>
    </row>
    <row r="55" spans="1:5" x14ac:dyDescent="0.25">
      <c r="A55" t="s">
        <v>45</v>
      </c>
      <c r="B55" t="s">
        <v>373</v>
      </c>
      <c r="C55" t="s">
        <v>92</v>
      </c>
      <c r="D55">
        <v>34477</v>
      </c>
      <c r="E55" t="s">
        <v>1077</v>
      </c>
    </row>
    <row r="56" spans="1:5" x14ac:dyDescent="0.25">
      <c r="A56" t="s">
        <v>45</v>
      </c>
      <c r="B56" t="s">
        <v>373</v>
      </c>
      <c r="C56" t="s">
        <v>92</v>
      </c>
      <c r="D56">
        <v>36887</v>
      </c>
      <c r="E56" t="s">
        <v>1078</v>
      </c>
    </row>
    <row r="57" spans="1:5" x14ac:dyDescent="0.25">
      <c r="A57" t="s">
        <v>45</v>
      </c>
      <c r="B57" t="s">
        <v>373</v>
      </c>
      <c r="C57" t="s">
        <v>92</v>
      </c>
      <c r="D57">
        <v>39320</v>
      </c>
      <c r="E57" t="s">
        <v>1079</v>
      </c>
    </row>
    <row r="58" spans="1:5" x14ac:dyDescent="0.25">
      <c r="A58" t="s">
        <v>45</v>
      </c>
      <c r="B58" t="s">
        <v>373</v>
      </c>
      <c r="C58" t="s">
        <v>92</v>
      </c>
      <c r="D58">
        <v>43481</v>
      </c>
      <c r="E58" t="s">
        <v>1080</v>
      </c>
    </row>
    <row r="59" spans="1:5" x14ac:dyDescent="0.25">
      <c r="A59" t="s">
        <v>45</v>
      </c>
      <c r="B59" t="s">
        <v>373</v>
      </c>
      <c r="C59" t="s">
        <v>92</v>
      </c>
      <c r="D59">
        <v>51186</v>
      </c>
      <c r="E59" t="s">
        <v>1081</v>
      </c>
    </row>
    <row r="60" spans="1:5" x14ac:dyDescent="0.25">
      <c r="A60" t="s">
        <v>45</v>
      </c>
      <c r="B60" t="s">
        <v>373</v>
      </c>
      <c r="C60" t="s">
        <v>92</v>
      </c>
      <c r="D60">
        <v>58814</v>
      </c>
      <c r="E60" t="s">
        <v>1082</v>
      </c>
    </row>
    <row r="61" spans="1:5" x14ac:dyDescent="0.25">
      <c r="A61" t="s">
        <v>45</v>
      </c>
      <c r="B61" t="s">
        <v>101</v>
      </c>
      <c r="C61" t="s">
        <v>92</v>
      </c>
      <c r="D61">
        <v>437</v>
      </c>
      <c r="E61" t="s">
        <v>1094</v>
      </c>
    </row>
    <row r="62" spans="1:5" x14ac:dyDescent="0.25">
      <c r="A62" t="s">
        <v>45</v>
      </c>
      <c r="B62" t="s">
        <v>101</v>
      </c>
      <c r="C62" t="s">
        <v>92</v>
      </c>
      <c r="D62">
        <v>2247</v>
      </c>
      <c r="E62" t="s">
        <v>1095</v>
      </c>
    </row>
    <row r="63" spans="1:5" x14ac:dyDescent="0.25">
      <c r="A63" t="s">
        <v>45</v>
      </c>
      <c r="B63" t="s">
        <v>105</v>
      </c>
      <c r="C63" t="s">
        <v>92</v>
      </c>
      <c r="D63">
        <v>437</v>
      </c>
      <c r="E63" t="s">
        <v>1096</v>
      </c>
    </row>
    <row r="64" spans="1:5" x14ac:dyDescent="0.25">
      <c r="A64" t="s">
        <v>45</v>
      </c>
      <c r="B64" t="s">
        <v>105</v>
      </c>
      <c r="C64" t="s">
        <v>92</v>
      </c>
      <c r="D64">
        <v>2257</v>
      </c>
      <c r="E64" t="s">
        <v>1095</v>
      </c>
    </row>
    <row r="65" spans="1:5" x14ac:dyDescent="0.25">
      <c r="A65" t="s">
        <v>45</v>
      </c>
      <c r="B65" t="s">
        <v>108</v>
      </c>
      <c r="C65" t="s">
        <v>92</v>
      </c>
      <c r="D65">
        <v>591</v>
      </c>
      <c r="E65" t="s">
        <v>1097</v>
      </c>
    </row>
    <row r="66" spans="1:5" x14ac:dyDescent="0.25">
      <c r="A66" t="s">
        <v>45</v>
      </c>
      <c r="B66" t="s">
        <v>108</v>
      </c>
      <c r="C66" t="s">
        <v>92</v>
      </c>
      <c r="D66">
        <v>3932</v>
      </c>
      <c r="E66" t="s">
        <v>1098</v>
      </c>
    </row>
    <row r="67" spans="1:5" x14ac:dyDescent="0.25">
      <c r="A67" t="s">
        <v>45</v>
      </c>
      <c r="B67" t="s">
        <v>108</v>
      </c>
      <c r="C67" t="s">
        <v>92</v>
      </c>
      <c r="D67">
        <v>5376</v>
      </c>
      <c r="E67" t="s">
        <v>1099</v>
      </c>
    </row>
    <row r="68" spans="1:5" x14ac:dyDescent="0.25">
      <c r="A68" t="s">
        <v>45</v>
      </c>
      <c r="B68" t="s">
        <v>375</v>
      </c>
      <c r="C68" t="s">
        <v>92</v>
      </c>
      <c r="D68">
        <v>4106</v>
      </c>
      <c r="E68" t="s">
        <v>1100</v>
      </c>
    </row>
    <row r="69" spans="1:5" x14ac:dyDescent="0.25">
      <c r="A69" t="s">
        <v>45</v>
      </c>
      <c r="B69" t="s">
        <v>497</v>
      </c>
      <c r="C69" t="s">
        <v>92</v>
      </c>
      <c r="D69">
        <v>3093</v>
      </c>
      <c r="E69" t="s">
        <v>1101</v>
      </c>
    </row>
    <row r="70" spans="1:5" x14ac:dyDescent="0.25">
      <c r="A70" t="s">
        <v>45</v>
      </c>
      <c r="B70" t="s">
        <v>500</v>
      </c>
      <c r="C70" t="s">
        <v>92</v>
      </c>
      <c r="D70">
        <v>2795</v>
      </c>
      <c r="E70" t="s">
        <v>1102</v>
      </c>
    </row>
    <row r="71" spans="1:5" x14ac:dyDescent="0.25">
      <c r="A71" t="s">
        <v>45</v>
      </c>
      <c r="B71" t="s">
        <v>500</v>
      </c>
      <c r="C71" t="s">
        <v>92</v>
      </c>
      <c r="D71">
        <v>3571</v>
      </c>
      <c r="E71" t="s">
        <v>1103</v>
      </c>
    </row>
    <row r="72" spans="1:5" x14ac:dyDescent="0.25">
      <c r="A72" t="s">
        <v>45</v>
      </c>
      <c r="B72" t="s">
        <v>378</v>
      </c>
      <c r="C72" t="s">
        <v>92</v>
      </c>
      <c r="D72">
        <v>2806</v>
      </c>
      <c r="E72" t="s">
        <v>1104</v>
      </c>
    </row>
    <row r="73" spans="1:5" x14ac:dyDescent="0.25">
      <c r="A73" t="s">
        <v>45</v>
      </c>
      <c r="B73" t="s">
        <v>378</v>
      </c>
      <c r="C73" t="s">
        <v>92</v>
      </c>
      <c r="D73">
        <v>3532</v>
      </c>
      <c r="E73" t="s">
        <v>1105</v>
      </c>
    </row>
    <row r="74" spans="1:5" x14ac:dyDescent="0.25">
      <c r="A74" t="s">
        <v>45</v>
      </c>
      <c r="B74" t="s">
        <v>503</v>
      </c>
      <c r="C74" t="s">
        <v>92</v>
      </c>
      <c r="D74">
        <v>934</v>
      </c>
      <c r="E74" t="s">
        <v>1106</v>
      </c>
    </row>
    <row r="75" spans="1:5" x14ac:dyDescent="0.25">
      <c r="A75" t="s">
        <v>45</v>
      </c>
      <c r="B75" t="s">
        <v>508</v>
      </c>
      <c r="C75" t="s">
        <v>92</v>
      </c>
      <c r="D75">
        <v>3596</v>
      </c>
      <c r="E75" t="s">
        <v>1098</v>
      </c>
    </row>
    <row r="76" spans="1:5" x14ac:dyDescent="0.25">
      <c r="A76" t="s">
        <v>45</v>
      </c>
      <c r="B76" t="s">
        <v>508</v>
      </c>
      <c r="C76" t="s">
        <v>92</v>
      </c>
      <c r="D76">
        <v>5040</v>
      </c>
      <c r="E76" t="s">
        <v>1099</v>
      </c>
    </row>
    <row r="77" spans="1:5" x14ac:dyDescent="0.25">
      <c r="A77" t="s">
        <v>45</v>
      </c>
      <c r="B77" t="s">
        <v>177</v>
      </c>
      <c r="C77" t="s">
        <v>178</v>
      </c>
      <c r="D77">
        <v>265</v>
      </c>
      <c r="E77" t="s">
        <v>1107</v>
      </c>
    </row>
    <row r="78" spans="1:5" x14ac:dyDescent="0.25">
      <c r="A78" t="s">
        <v>45</v>
      </c>
      <c r="B78" t="s">
        <v>177</v>
      </c>
      <c r="C78" t="s">
        <v>178</v>
      </c>
      <c r="D78">
        <v>1363</v>
      </c>
      <c r="E78" t="s">
        <v>1108</v>
      </c>
    </row>
    <row r="79" spans="1:5" x14ac:dyDescent="0.25">
      <c r="A79" t="s">
        <v>45</v>
      </c>
      <c r="B79" t="s">
        <v>301</v>
      </c>
      <c r="C79" t="s">
        <v>178</v>
      </c>
      <c r="D79">
        <v>265</v>
      </c>
      <c r="E79" t="s">
        <v>1109</v>
      </c>
    </row>
    <row r="80" spans="1:5" x14ac:dyDescent="0.25">
      <c r="A80" t="s">
        <v>45</v>
      </c>
      <c r="B80" t="s">
        <v>301</v>
      </c>
      <c r="C80" t="s">
        <v>178</v>
      </c>
      <c r="D80">
        <v>1363</v>
      </c>
      <c r="E80" t="s">
        <v>1108</v>
      </c>
    </row>
    <row r="81" spans="1:5" x14ac:dyDescent="0.25">
      <c r="A81" t="s">
        <v>45</v>
      </c>
      <c r="B81" t="s">
        <v>435</v>
      </c>
      <c r="C81" t="s">
        <v>178</v>
      </c>
      <c r="D81">
        <v>265</v>
      </c>
      <c r="E81" t="s">
        <v>1110</v>
      </c>
    </row>
    <row r="82" spans="1:5" x14ac:dyDescent="0.25">
      <c r="A82" t="s">
        <v>45</v>
      </c>
      <c r="B82" t="s">
        <v>435</v>
      </c>
      <c r="C82" t="s">
        <v>178</v>
      </c>
      <c r="D82">
        <v>1363</v>
      </c>
      <c r="E82" t="s">
        <v>1108</v>
      </c>
    </row>
    <row r="83" spans="1:5" x14ac:dyDescent="0.25">
      <c r="A83" t="s">
        <v>45</v>
      </c>
      <c r="B83" t="s">
        <v>513</v>
      </c>
      <c r="C83" t="s">
        <v>92</v>
      </c>
      <c r="D83">
        <v>783</v>
      </c>
      <c r="E83" t="s">
        <v>1111</v>
      </c>
    </row>
    <row r="84" spans="1:5" x14ac:dyDescent="0.25">
      <c r="A84" t="s">
        <v>45</v>
      </c>
      <c r="B84" t="s">
        <v>513</v>
      </c>
      <c r="C84" t="s">
        <v>92</v>
      </c>
      <c r="D84">
        <v>2539</v>
      </c>
      <c r="E84" t="s">
        <v>1112</v>
      </c>
    </row>
    <row r="85" spans="1:5" x14ac:dyDescent="0.25">
      <c r="A85" t="s">
        <v>45</v>
      </c>
      <c r="B85" t="s">
        <v>513</v>
      </c>
      <c r="C85" t="s">
        <v>92</v>
      </c>
      <c r="D85">
        <v>2706</v>
      </c>
      <c r="E85" t="s">
        <v>1113</v>
      </c>
    </row>
    <row r="86" spans="1:5" x14ac:dyDescent="0.25">
      <c r="A86" t="s">
        <v>45</v>
      </c>
      <c r="B86" t="s">
        <v>513</v>
      </c>
      <c r="C86" t="s">
        <v>92</v>
      </c>
      <c r="D86">
        <v>3012</v>
      </c>
      <c r="E86" t="s">
        <v>1114</v>
      </c>
    </row>
    <row r="87" spans="1:5" x14ac:dyDescent="0.25">
      <c r="A87" t="s">
        <v>45</v>
      </c>
      <c r="B87" t="s">
        <v>184</v>
      </c>
      <c r="C87" t="s">
        <v>178</v>
      </c>
      <c r="D87">
        <v>258</v>
      </c>
      <c r="E87" t="s">
        <v>1115</v>
      </c>
    </row>
    <row r="88" spans="1:5" x14ac:dyDescent="0.25">
      <c r="A88" t="s">
        <v>45</v>
      </c>
      <c r="B88" t="s">
        <v>184</v>
      </c>
      <c r="C88" t="s">
        <v>178</v>
      </c>
      <c r="D88">
        <v>758</v>
      </c>
      <c r="E88" t="s">
        <v>1116</v>
      </c>
    </row>
    <row r="89" spans="1:5" x14ac:dyDescent="0.25">
      <c r="A89" t="s">
        <v>45</v>
      </c>
      <c r="B89" t="s">
        <v>310</v>
      </c>
      <c r="C89" t="s">
        <v>178</v>
      </c>
      <c r="D89">
        <v>258</v>
      </c>
      <c r="E89" t="s">
        <v>1117</v>
      </c>
    </row>
    <row r="90" spans="1:5" x14ac:dyDescent="0.25">
      <c r="A90" t="s">
        <v>45</v>
      </c>
      <c r="B90" t="s">
        <v>310</v>
      </c>
      <c r="C90" t="s">
        <v>178</v>
      </c>
      <c r="D90">
        <v>758</v>
      </c>
      <c r="E90" t="s">
        <v>1116</v>
      </c>
    </row>
    <row r="91" spans="1:5" x14ac:dyDescent="0.25">
      <c r="A91" t="s">
        <v>45</v>
      </c>
      <c r="B91" t="s">
        <v>442</v>
      </c>
      <c r="C91" t="s">
        <v>178</v>
      </c>
      <c r="D91">
        <v>258</v>
      </c>
      <c r="E91" t="s">
        <v>1118</v>
      </c>
    </row>
    <row r="92" spans="1:5" x14ac:dyDescent="0.25">
      <c r="A92" t="s">
        <v>45</v>
      </c>
      <c r="B92" t="s">
        <v>442</v>
      </c>
      <c r="C92" t="s">
        <v>178</v>
      </c>
      <c r="D92">
        <v>758</v>
      </c>
      <c r="E92" t="s">
        <v>1116</v>
      </c>
    </row>
    <row r="93" spans="1:5" x14ac:dyDescent="0.25">
      <c r="A93" t="s">
        <v>45</v>
      </c>
      <c r="B93" t="s">
        <v>61</v>
      </c>
      <c r="C93" t="s">
        <v>47</v>
      </c>
      <c r="D93">
        <v>340</v>
      </c>
      <c r="E93" t="s">
        <v>1119</v>
      </c>
    </row>
    <row r="94" spans="1:5" x14ac:dyDescent="0.25">
      <c r="A94" t="s">
        <v>45</v>
      </c>
      <c r="B94" t="s">
        <v>61</v>
      </c>
      <c r="C94" t="s">
        <v>47</v>
      </c>
      <c r="D94">
        <v>1545</v>
      </c>
      <c r="E94" t="s">
        <v>1120</v>
      </c>
    </row>
    <row r="95" spans="1:5" x14ac:dyDescent="0.25">
      <c r="A95" t="s">
        <v>45</v>
      </c>
      <c r="B95" t="s">
        <v>61</v>
      </c>
      <c r="C95" t="s">
        <v>47</v>
      </c>
      <c r="D95">
        <v>2258</v>
      </c>
      <c r="E95" t="s">
        <v>1121</v>
      </c>
    </row>
    <row r="96" spans="1:5" x14ac:dyDescent="0.25">
      <c r="A96" t="s">
        <v>45</v>
      </c>
      <c r="B96" t="s">
        <v>61</v>
      </c>
      <c r="C96" t="s">
        <v>47</v>
      </c>
      <c r="D96">
        <v>2806</v>
      </c>
      <c r="E96" t="s">
        <v>1122</v>
      </c>
    </row>
    <row r="97" spans="1:5" x14ac:dyDescent="0.25">
      <c r="A97" t="s">
        <v>45</v>
      </c>
      <c r="B97" t="s">
        <v>204</v>
      </c>
      <c r="C97" t="s">
        <v>47</v>
      </c>
      <c r="D97">
        <v>340</v>
      </c>
      <c r="E97" t="s">
        <v>1123</v>
      </c>
    </row>
    <row r="98" spans="1:5" x14ac:dyDescent="0.25">
      <c r="A98" t="s">
        <v>45</v>
      </c>
      <c r="B98" t="s">
        <v>204</v>
      </c>
      <c r="C98" t="s">
        <v>47</v>
      </c>
      <c r="D98">
        <v>1545</v>
      </c>
      <c r="E98" t="s">
        <v>1120</v>
      </c>
    </row>
    <row r="99" spans="1:5" x14ac:dyDescent="0.25">
      <c r="A99" t="s">
        <v>45</v>
      </c>
      <c r="B99" t="s">
        <v>204</v>
      </c>
      <c r="C99" t="s">
        <v>47</v>
      </c>
      <c r="D99">
        <v>2258</v>
      </c>
      <c r="E99" t="s">
        <v>1121</v>
      </c>
    </row>
    <row r="100" spans="1:5" x14ac:dyDescent="0.25">
      <c r="A100" t="s">
        <v>45</v>
      </c>
      <c r="B100" t="s">
        <v>204</v>
      </c>
      <c r="C100" t="s">
        <v>47</v>
      </c>
      <c r="D100">
        <v>2806</v>
      </c>
      <c r="E100" t="s">
        <v>1122</v>
      </c>
    </row>
    <row r="101" spans="1:5" x14ac:dyDescent="0.25">
      <c r="A101" t="s">
        <v>45</v>
      </c>
      <c r="B101" t="s">
        <v>338</v>
      </c>
      <c r="C101" t="s">
        <v>47</v>
      </c>
      <c r="D101">
        <v>340</v>
      </c>
      <c r="E101" t="s">
        <v>1124</v>
      </c>
    </row>
    <row r="102" spans="1:5" x14ac:dyDescent="0.25">
      <c r="A102" t="s">
        <v>45</v>
      </c>
      <c r="B102" t="s">
        <v>338</v>
      </c>
      <c r="C102" t="s">
        <v>47</v>
      </c>
      <c r="D102">
        <v>1545</v>
      </c>
      <c r="E102" t="s">
        <v>1120</v>
      </c>
    </row>
    <row r="103" spans="1:5" x14ac:dyDescent="0.25">
      <c r="A103" t="s">
        <v>45</v>
      </c>
      <c r="B103" t="s">
        <v>338</v>
      </c>
      <c r="C103" t="s">
        <v>47</v>
      </c>
      <c r="D103">
        <v>2258</v>
      </c>
      <c r="E103" t="s">
        <v>1121</v>
      </c>
    </row>
    <row r="104" spans="1:5" x14ac:dyDescent="0.25">
      <c r="A104" t="s">
        <v>45</v>
      </c>
      <c r="B104" t="s">
        <v>338</v>
      </c>
      <c r="C104" t="s">
        <v>47</v>
      </c>
      <c r="D104">
        <v>2806</v>
      </c>
      <c r="E104" t="s">
        <v>1122</v>
      </c>
    </row>
    <row r="105" spans="1:5" x14ac:dyDescent="0.25">
      <c r="A105" t="s">
        <v>45</v>
      </c>
      <c r="B105" t="s">
        <v>478</v>
      </c>
      <c r="C105" t="s">
        <v>47</v>
      </c>
      <c r="D105">
        <v>1373</v>
      </c>
      <c r="E105" t="s">
        <v>1125</v>
      </c>
    </row>
    <row r="106" spans="1:5" x14ac:dyDescent="0.25">
      <c r="A106" t="s">
        <v>45</v>
      </c>
      <c r="B106" t="s">
        <v>65</v>
      </c>
      <c r="C106" t="s">
        <v>47</v>
      </c>
      <c r="D106">
        <v>258</v>
      </c>
      <c r="E106" t="s">
        <v>1126</v>
      </c>
    </row>
    <row r="107" spans="1:5" x14ac:dyDescent="0.25">
      <c r="A107" t="s">
        <v>45</v>
      </c>
      <c r="B107" t="s">
        <v>65</v>
      </c>
      <c r="C107" t="s">
        <v>47</v>
      </c>
      <c r="D107">
        <v>1460</v>
      </c>
      <c r="E107" t="s">
        <v>1127</v>
      </c>
    </row>
    <row r="108" spans="1:5" x14ac:dyDescent="0.25">
      <c r="A108" t="s">
        <v>45</v>
      </c>
      <c r="B108" t="s">
        <v>207</v>
      </c>
      <c r="C108" t="s">
        <v>47</v>
      </c>
      <c r="D108">
        <v>258</v>
      </c>
      <c r="E108" t="s">
        <v>1128</v>
      </c>
    </row>
    <row r="109" spans="1:5" x14ac:dyDescent="0.25">
      <c r="A109" t="s">
        <v>45</v>
      </c>
      <c r="B109" t="s">
        <v>207</v>
      </c>
      <c r="C109" t="s">
        <v>47</v>
      </c>
      <c r="D109">
        <v>1474</v>
      </c>
      <c r="E109" t="s">
        <v>1129</v>
      </c>
    </row>
    <row r="110" spans="1:5" x14ac:dyDescent="0.25">
      <c r="A110" t="s">
        <v>45</v>
      </c>
      <c r="B110" t="s">
        <v>341</v>
      </c>
      <c r="C110" t="s">
        <v>47</v>
      </c>
      <c r="D110">
        <v>258</v>
      </c>
      <c r="E110" t="s">
        <v>1130</v>
      </c>
    </row>
    <row r="111" spans="1:5" x14ac:dyDescent="0.25">
      <c r="A111" t="s">
        <v>45</v>
      </c>
      <c r="B111" t="s">
        <v>341</v>
      </c>
      <c r="C111" t="s">
        <v>47</v>
      </c>
      <c r="D111">
        <v>1408</v>
      </c>
      <c r="E111" t="s">
        <v>1129</v>
      </c>
    </row>
    <row r="112" spans="1:5" x14ac:dyDescent="0.25">
      <c r="A112" t="s">
        <v>45</v>
      </c>
      <c r="B112" t="s">
        <v>71</v>
      </c>
      <c r="C112" t="s">
        <v>47</v>
      </c>
      <c r="D112">
        <v>258</v>
      </c>
      <c r="E112" t="s">
        <v>1131</v>
      </c>
    </row>
    <row r="113" spans="1:5" x14ac:dyDescent="0.25">
      <c r="A113" t="s">
        <v>45</v>
      </c>
      <c r="B113" t="s">
        <v>71</v>
      </c>
      <c r="C113" t="s">
        <v>47</v>
      </c>
      <c r="D113">
        <v>1602</v>
      </c>
      <c r="E113" t="s">
        <v>1132</v>
      </c>
    </row>
    <row r="114" spans="1:5" x14ac:dyDescent="0.25">
      <c r="A114" t="s">
        <v>45</v>
      </c>
      <c r="B114" t="s">
        <v>71</v>
      </c>
      <c r="C114" t="s">
        <v>47</v>
      </c>
      <c r="D114">
        <v>2345</v>
      </c>
      <c r="E114" t="s">
        <v>1133</v>
      </c>
    </row>
    <row r="115" spans="1:5" x14ac:dyDescent="0.25">
      <c r="A115" t="s">
        <v>45</v>
      </c>
      <c r="B115" t="s">
        <v>71</v>
      </c>
      <c r="C115" t="s">
        <v>47</v>
      </c>
      <c r="D115">
        <v>2640</v>
      </c>
      <c r="E115" t="s">
        <v>1134</v>
      </c>
    </row>
    <row r="116" spans="1:5" x14ac:dyDescent="0.25">
      <c r="A116" t="s">
        <v>45</v>
      </c>
      <c r="B116" t="s">
        <v>216</v>
      </c>
      <c r="C116" t="s">
        <v>47</v>
      </c>
      <c r="D116">
        <v>258</v>
      </c>
      <c r="E116" t="s">
        <v>1135</v>
      </c>
    </row>
    <row r="117" spans="1:5" x14ac:dyDescent="0.25">
      <c r="A117" t="s">
        <v>45</v>
      </c>
      <c r="B117" t="s">
        <v>216</v>
      </c>
      <c r="C117" t="s">
        <v>47</v>
      </c>
      <c r="D117">
        <v>1604</v>
      </c>
      <c r="E117" t="s">
        <v>1136</v>
      </c>
    </row>
    <row r="118" spans="1:5" x14ac:dyDescent="0.25">
      <c r="A118" t="s">
        <v>45</v>
      </c>
      <c r="B118" t="s">
        <v>216</v>
      </c>
      <c r="C118" t="s">
        <v>47</v>
      </c>
      <c r="D118">
        <v>2237</v>
      </c>
      <c r="E118" t="s">
        <v>1137</v>
      </c>
    </row>
    <row r="119" spans="1:5" x14ac:dyDescent="0.25">
      <c r="A119" t="s">
        <v>45</v>
      </c>
      <c r="B119" t="s">
        <v>216</v>
      </c>
      <c r="C119" t="s">
        <v>47</v>
      </c>
      <c r="D119">
        <v>2501</v>
      </c>
      <c r="E119" t="s">
        <v>1138</v>
      </c>
    </row>
    <row r="120" spans="1:5" x14ac:dyDescent="0.25">
      <c r="A120" t="s">
        <v>45</v>
      </c>
      <c r="B120" t="s">
        <v>348</v>
      </c>
      <c r="C120" t="s">
        <v>47</v>
      </c>
      <c r="D120">
        <v>258</v>
      </c>
      <c r="E120" t="s">
        <v>1139</v>
      </c>
    </row>
    <row r="121" spans="1:5" x14ac:dyDescent="0.25">
      <c r="A121" t="s">
        <v>45</v>
      </c>
      <c r="B121" t="s">
        <v>348</v>
      </c>
      <c r="C121" t="s">
        <v>47</v>
      </c>
      <c r="D121">
        <v>1673</v>
      </c>
      <c r="E121" t="s">
        <v>1140</v>
      </c>
    </row>
    <row r="122" spans="1:5" x14ac:dyDescent="0.25">
      <c r="A122" t="s">
        <v>45</v>
      </c>
      <c r="B122" t="s">
        <v>348</v>
      </c>
      <c r="C122" t="s">
        <v>47</v>
      </c>
      <c r="D122">
        <v>2418</v>
      </c>
      <c r="E122" t="s">
        <v>1141</v>
      </c>
    </row>
    <row r="123" spans="1:5" x14ac:dyDescent="0.25">
      <c r="A123" t="s">
        <v>45</v>
      </c>
      <c r="B123" t="s">
        <v>348</v>
      </c>
      <c r="C123" t="s">
        <v>47</v>
      </c>
      <c r="D123">
        <v>2746</v>
      </c>
      <c r="E123" t="s">
        <v>1142</v>
      </c>
    </row>
    <row r="124" spans="1:5" x14ac:dyDescent="0.25">
      <c r="A124" t="s">
        <v>45</v>
      </c>
      <c r="B124" t="s">
        <v>46</v>
      </c>
      <c r="C124" t="s">
        <v>47</v>
      </c>
      <c r="D124">
        <v>301</v>
      </c>
      <c r="E124" t="s">
        <v>1143</v>
      </c>
    </row>
    <row r="125" spans="1:5" x14ac:dyDescent="0.25">
      <c r="A125" t="s">
        <v>45</v>
      </c>
      <c r="B125" t="s">
        <v>46</v>
      </c>
      <c r="C125" t="s">
        <v>47</v>
      </c>
      <c r="D125">
        <v>1685</v>
      </c>
      <c r="E125" t="s">
        <v>1144</v>
      </c>
    </row>
    <row r="126" spans="1:5" x14ac:dyDescent="0.25">
      <c r="A126" t="s">
        <v>45</v>
      </c>
      <c r="B126" t="s">
        <v>46</v>
      </c>
      <c r="C126" t="s">
        <v>47</v>
      </c>
      <c r="D126">
        <v>2401</v>
      </c>
      <c r="E126" t="s">
        <v>1145</v>
      </c>
    </row>
    <row r="127" spans="1:5" x14ac:dyDescent="0.25">
      <c r="A127" t="s">
        <v>45</v>
      </c>
      <c r="B127" t="s">
        <v>46</v>
      </c>
      <c r="C127" t="s">
        <v>47</v>
      </c>
      <c r="D127">
        <v>2667</v>
      </c>
      <c r="E127" t="s">
        <v>1146</v>
      </c>
    </row>
    <row r="128" spans="1:5" x14ac:dyDescent="0.25">
      <c r="A128" t="s">
        <v>45</v>
      </c>
      <c r="B128" t="s">
        <v>194</v>
      </c>
      <c r="C128" t="s">
        <v>47</v>
      </c>
      <c r="D128">
        <v>301</v>
      </c>
      <c r="E128" t="s">
        <v>1147</v>
      </c>
    </row>
    <row r="129" spans="1:5" x14ac:dyDescent="0.25">
      <c r="A129" t="s">
        <v>45</v>
      </c>
      <c r="B129" t="s">
        <v>194</v>
      </c>
      <c r="C129" t="s">
        <v>47</v>
      </c>
      <c r="D129">
        <v>1714</v>
      </c>
      <c r="E129" t="s">
        <v>1148</v>
      </c>
    </row>
    <row r="130" spans="1:5" x14ac:dyDescent="0.25">
      <c r="A130" t="s">
        <v>45</v>
      </c>
      <c r="B130" t="s">
        <v>194</v>
      </c>
      <c r="C130" t="s">
        <v>47</v>
      </c>
      <c r="D130">
        <v>2401</v>
      </c>
      <c r="E130" t="s">
        <v>1145</v>
      </c>
    </row>
    <row r="131" spans="1:5" x14ac:dyDescent="0.25">
      <c r="A131" t="s">
        <v>45</v>
      </c>
      <c r="B131" t="s">
        <v>194</v>
      </c>
      <c r="C131" t="s">
        <v>47</v>
      </c>
      <c r="D131">
        <v>2667</v>
      </c>
      <c r="E131" t="s">
        <v>1146</v>
      </c>
    </row>
    <row r="132" spans="1:5" x14ac:dyDescent="0.25">
      <c r="A132" t="s">
        <v>45</v>
      </c>
      <c r="B132" t="s">
        <v>330</v>
      </c>
      <c r="C132" t="s">
        <v>47</v>
      </c>
      <c r="D132">
        <v>301</v>
      </c>
      <c r="E132" t="s">
        <v>1149</v>
      </c>
    </row>
    <row r="133" spans="1:5" x14ac:dyDescent="0.25">
      <c r="A133" t="s">
        <v>45</v>
      </c>
      <c r="B133" t="s">
        <v>330</v>
      </c>
      <c r="C133" t="s">
        <v>47</v>
      </c>
      <c r="D133">
        <v>1719</v>
      </c>
      <c r="E133" t="s">
        <v>1150</v>
      </c>
    </row>
    <row r="134" spans="1:5" x14ac:dyDescent="0.25">
      <c r="A134" t="s">
        <v>45</v>
      </c>
      <c r="B134" t="s">
        <v>330</v>
      </c>
      <c r="C134" t="s">
        <v>47</v>
      </c>
      <c r="D134">
        <v>2435</v>
      </c>
      <c r="E134" t="s">
        <v>1151</v>
      </c>
    </row>
    <row r="135" spans="1:5" x14ac:dyDescent="0.25">
      <c r="A135" t="s">
        <v>45</v>
      </c>
      <c r="B135" t="s">
        <v>330</v>
      </c>
      <c r="C135" t="s">
        <v>47</v>
      </c>
      <c r="D135">
        <v>2701</v>
      </c>
      <c r="E135" t="s">
        <v>1146</v>
      </c>
    </row>
    <row r="136" spans="1:5" x14ac:dyDescent="0.25">
      <c r="A136" t="s">
        <v>45</v>
      </c>
      <c r="B136" t="s">
        <v>191</v>
      </c>
      <c r="C136" t="s">
        <v>178</v>
      </c>
      <c r="D136">
        <v>265</v>
      </c>
      <c r="E136" t="s">
        <v>1152</v>
      </c>
    </row>
    <row r="137" spans="1:5" x14ac:dyDescent="0.25">
      <c r="A137" t="s">
        <v>45</v>
      </c>
      <c r="B137" t="s">
        <v>191</v>
      </c>
      <c r="C137" t="s">
        <v>178</v>
      </c>
      <c r="D137">
        <v>1344</v>
      </c>
      <c r="E137" t="s">
        <v>1153</v>
      </c>
    </row>
    <row r="138" spans="1:5" x14ac:dyDescent="0.25">
      <c r="A138" t="s">
        <v>45</v>
      </c>
      <c r="B138" t="s">
        <v>191</v>
      </c>
      <c r="C138" t="s">
        <v>178</v>
      </c>
      <c r="D138">
        <v>1644</v>
      </c>
      <c r="E138" t="s">
        <v>1154</v>
      </c>
    </row>
    <row r="139" spans="1:5" x14ac:dyDescent="0.25">
      <c r="A139" t="s">
        <v>45</v>
      </c>
      <c r="B139" t="s">
        <v>191</v>
      </c>
      <c r="C139" t="s">
        <v>178</v>
      </c>
      <c r="D139">
        <v>2252</v>
      </c>
      <c r="E139" t="s">
        <v>1155</v>
      </c>
    </row>
    <row r="140" spans="1:5" x14ac:dyDescent="0.25">
      <c r="A140" t="s">
        <v>45</v>
      </c>
      <c r="B140" t="s">
        <v>327</v>
      </c>
      <c r="C140" t="s">
        <v>178</v>
      </c>
      <c r="D140">
        <v>265</v>
      </c>
      <c r="E140" t="s">
        <v>1156</v>
      </c>
    </row>
    <row r="141" spans="1:5" x14ac:dyDescent="0.25">
      <c r="A141" t="s">
        <v>45</v>
      </c>
      <c r="B141" t="s">
        <v>327</v>
      </c>
      <c r="C141" t="s">
        <v>178</v>
      </c>
      <c r="D141">
        <v>1447</v>
      </c>
      <c r="E141" t="s">
        <v>1153</v>
      </c>
    </row>
    <row r="142" spans="1:5" x14ac:dyDescent="0.25">
      <c r="A142" t="s">
        <v>45</v>
      </c>
      <c r="B142" t="s">
        <v>327</v>
      </c>
      <c r="C142" t="s">
        <v>178</v>
      </c>
      <c r="D142">
        <v>1747</v>
      </c>
      <c r="E142" t="s">
        <v>1154</v>
      </c>
    </row>
    <row r="143" spans="1:5" x14ac:dyDescent="0.25">
      <c r="A143" t="s">
        <v>45</v>
      </c>
      <c r="B143" t="s">
        <v>327</v>
      </c>
      <c r="C143" t="s">
        <v>178</v>
      </c>
      <c r="D143">
        <v>2355</v>
      </c>
      <c r="E143" t="s">
        <v>1155</v>
      </c>
    </row>
    <row r="144" spans="1:5" x14ac:dyDescent="0.25">
      <c r="A144" t="s">
        <v>45</v>
      </c>
      <c r="B144" t="s">
        <v>453</v>
      </c>
      <c r="C144" t="s">
        <v>178</v>
      </c>
      <c r="D144">
        <v>265</v>
      </c>
      <c r="E144" t="s">
        <v>1157</v>
      </c>
    </row>
    <row r="145" spans="1:5" x14ac:dyDescent="0.25">
      <c r="A145" t="s">
        <v>45</v>
      </c>
      <c r="B145" t="s">
        <v>453</v>
      </c>
      <c r="C145" t="s">
        <v>178</v>
      </c>
      <c r="D145">
        <v>1344</v>
      </c>
      <c r="E145" t="s">
        <v>1158</v>
      </c>
    </row>
    <row r="146" spans="1:5" x14ac:dyDescent="0.25">
      <c r="A146" t="s">
        <v>45</v>
      </c>
      <c r="B146" t="s">
        <v>453</v>
      </c>
      <c r="C146" t="s">
        <v>178</v>
      </c>
      <c r="D146">
        <v>1645</v>
      </c>
      <c r="E146" t="s">
        <v>1154</v>
      </c>
    </row>
    <row r="147" spans="1:5" x14ac:dyDescent="0.25">
      <c r="A147" t="s">
        <v>45</v>
      </c>
      <c r="B147" t="s">
        <v>453</v>
      </c>
      <c r="C147" t="s">
        <v>178</v>
      </c>
      <c r="D147">
        <v>2253</v>
      </c>
      <c r="E147" t="s">
        <v>1155</v>
      </c>
    </row>
    <row r="148" spans="1:5" x14ac:dyDescent="0.25">
      <c r="A148" t="s">
        <v>45</v>
      </c>
      <c r="B148" t="s">
        <v>116</v>
      </c>
      <c r="C148" t="s">
        <v>92</v>
      </c>
      <c r="D148">
        <v>3116</v>
      </c>
      <c r="E148" t="s">
        <v>1159</v>
      </c>
    </row>
    <row r="149" spans="1:5" x14ac:dyDescent="0.25">
      <c r="A149" t="s">
        <v>45</v>
      </c>
      <c r="B149" t="s">
        <v>120</v>
      </c>
      <c r="C149" t="s">
        <v>92</v>
      </c>
      <c r="D149">
        <v>5013</v>
      </c>
      <c r="E149" t="s">
        <v>1160</v>
      </c>
    </row>
    <row r="150" spans="1:5" x14ac:dyDescent="0.25">
      <c r="A150" t="s">
        <v>45</v>
      </c>
      <c r="B150" t="s">
        <v>123</v>
      </c>
      <c r="C150" t="s">
        <v>92</v>
      </c>
      <c r="D150">
        <v>5068</v>
      </c>
      <c r="E150" t="s">
        <v>1160</v>
      </c>
    </row>
    <row r="151" spans="1:5" x14ac:dyDescent="0.25">
      <c r="A151" t="s">
        <v>45</v>
      </c>
      <c r="B151" t="s">
        <v>125</v>
      </c>
      <c r="C151" t="s">
        <v>92</v>
      </c>
      <c r="D151">
        <v>699</v>
      </c>
      <c r="E151" t="s">
        <v>1161</v>
      </c>
    </row>
    <row r="152" spans="1:5" x14ac:dyDescent="0.25">
      <c r="A152" t="s">
        <v>45</v>
      </c>
      <c r="B152" t="s">
        <v>125</v>
      </c>
      <c r="C152" t="s">
        <v>92</v>
      </c>
      <c r="D152">
        <v>5449</v>
      </c>
      <c r="E152" t="s">
        <v>1162</v>
      </c>
    </row>
    <row r="153" spans="1:5" x14ac:dyDescent="0.25">
      <c r="A153" t="s">
        <v>45</v>
      </c>
      <c r="B153" t="s">
        <v>128</v>
      </c>
      <c r="C153" t="s">
        <v>92</v>
      </c>
      <c r="D153">
        <v>699</v>
      </c>
      <c r="E153" t="s">
        <v>1163</v>
      </c>
    </row>
    <row r="154" spans="1:5" x14ac:dyDescent="0.25">
      <c r="A154" t="s">
        <v>45</v>
      </c>
      <c r="B154" t="s">
        <v>131</v>
      </c>
      <c r="C154" t="s">
        <v>92</v>
      </c>
      <c r="D154">
        <v>656</v>
      </c>
      <c r="E154" t="s">
        <v>1164</v>
      </c>
    </row>
    <row r="155" spans="1:5" x14ac:dyDescent="0.25">
      <c r="A155" t="s">
        <v>45</v>
      </c>
      <c r="B155" t="s">
        <v>131</v>
      </c>
      <c r="C155" t="s">
        <v>92</v>
      </c>
      <c r="D155">
        <v>13187</v>
      </c>
      <c r="E155" t="s">
        <v>1165</v>
      </c>
    </row>
    <row r="156" spans="1:5" x14ac:dyDescent="0.25">
      <c r="A156" t="s">
        <v>45</v>
      </c>
      <c r="B156" t="s">
        <v>137</v>
      </c>
      <c r="C156" t="s">
        <v>92</v>
      </c>
      <c r="D156">
        <v>521</v>
      </c>
      <c r="E156" t="s">
        <v>1166</v>
      </c>
    </row>
    <row r="157" spans="1:5" x14ac:dyDescent="0.25">
      <c r="A157" t="s">
        <v>45</v>
      </c>
      <c r="B157" t="s">
        <v>137</v>
      </c>
      <c r="C157" t="s">
        <v>92</v>
      </c>
      <c r="D157">
        <v>2190</v>
      </c>
      <c r="E157" t="s">
        <v>1167</v>
      </c>
    </row>
    <row r="158" spans="1:5" x14ac:dyDescent="0.25">
      <c r="A158" t="s">
        <v>45</v>
      </c>
      <c r="B158" t="s">
        <v>137</v>
      </c>
      <c r="C158" t="s">
        <v>92</v>
      </c>
      <c r="D158">
        <v>2373</v>
      </c>
      <c r="E158" t="s">
        <v>1168</v>
      </c>
    </row>
    <row r="159" spans="1:5" x14ac:dyDescent="0.25">
      <c r="A159" t="s">
        <v>45</v>
      </c>
      <c r="B159" t="s">
        <v>137</v>
      </c>
      <c r="C159" t="s">
        <v>92</v>
      </c>
      <c r="D159">
        <v>6374</v>
      </c>
      <c r="E159" t="s">
        <v>1169</v>
      </c>
    </row>
    <row r="160" spans="1:5" x14ac:dyDescent="0.25">
      <c r="A160" t="s">
        <v>45</v>
      </c>
      <c r="B160" t="s">
        <v>142</v>
      </c>
      <c r="C160" t="s">
        <v>92</v>
      </c>
      <c r="D160">
        <v>1006</v>
      </c>
      <c r="E160" t="s">
        <v>1170</v>
      </c>
    </row>
    <row r="161" spans="1:5" x14ac:dyDescent="0.25">
      <c r="A161" t="s">
        <v>45</v>
      </c>
      <c r="B161" t="s">
        <v>142</v>
      </c>
      <c r="C161" t="s">
        <v>92</v>
      </c>
      <c r="D161">
        <v>5526</v>
      </c>
      <c r="E161" t="s">
        <v>1171</v>
      </c>
    </row>
    <row r="162" spans="1:5" x14ac:dyDescent="0.25">
      <c r="A162" t="s">
        <v>45</v>
      </c>
      <c r="B162" t="s">
        <v>145</v>
      </c>
      <c r="C162" t="s">
        <v>92</v>
      </c>
      <c r="D162">
        <v>629</v>
      </c>
      <c r="E162" t="s">
        <v>1172</v>
      </c>
    </row>
    <row r="163" spans="1:5" x14ac:dyDescent="0.25">
      <c r="A163" t="s">
        <v>45</v>
      </c>
      <c r="B163" t="s">
        <v>145</v>
      </c>
      <c r="C163" t="s">
        <v>92</v>
      </c>
      <c r="D163">
        <v>1158</v>
      </c>
      <c r="E163" t="s">
        <v>1173</v>
      </c>
    </row>
    <row r="164" spans="1:5" x14ac:dyDescent="0.25">
      <c r="A164" t="s">
        <v>45</v>
      </c>
      <c r="B164" t="s">
        <v>245</v>
      </c>
      <c r="C164" t="s">
        <v>92</v>
      </c>
      <c r="D164">
        <v>971</v>
      </c>
      <c r="E164" t="s">
        <v>1174</v>
      </c>
    </row>
    <row r="165" spans="1:5" x14ac:dyDescent="0.25">
      <c r="A165" t="s">
        <v>45</v>
      </c>
      <c r="B165" t="s">
        <v>245</v>
      </c>
      <c r="C165" t="s">
        <v>92</v>
      </c>
      <c r="D165">
        <v>5728</v>
      </c>
      <c r="E165" t="s">
        <v>1175</v>
      </c>
    </row>
    <row r="166" spans="1:5" x14ac:dyDescent="0.25">
      <c r="A166" t="s">
        <v>45</v>
      </c>
      <c r="B166" t="s">
        <v>248</v>
      </c>
      <c r="C166" t="s">
        <v>92</v>
      </c>
      <c r="D166">
        <v>971</v>
      </c>
      <c r="E166" t="s">
        <v>1176</v>
      </c>
    </row>
    <row r="167" spans="1:5" x14ac:dyDescent="0.25">
      <c r="A167" t="s">
        <v>45</v>
      </c>
      <c r="B167" t="s">
        <v>248</v>
      </c>
      <c r="C167" t="s">
        <v>92</v>
      </c>
      <c r="D167">
        <v>5593</v>
      </c>
      <c r="E167" t="s">
        <v>1175</v>
      </c>
    </row>
    <row r="168" spans="1:5" x14ac:dyDescent="0.25">
      <c r="A168" t="s">
        <v>45</v>
      </c>
      <c r="B168" t="s">
        <v>250</v>
      </c>
      <c r="C168" t="s">
        <v>92</v>
      </c>
      <c r="D168">
        <v>4340</v>
      </c>
      <c r="E168" t="s">
        <v>1177</v>
      </c>
    </row>
    <row r="169" spans="1:5" x14ac:dyDescent="0.25">
      <c r="A169" t="s">
        <v>45</v>
      </c>
      <c r="B169" t="s">
        <v>260</v>
      </c>
      <c r="C169" t="s">
        <v>92</v>
      </c>
      <c r="D169">
        <v>420</v>
      </c>
      <c r="E169" t="s">
        <v>1178</v>
      </c>
    </row>
    <row r="170" spans="1:5" x14ac:dyDescent="0.25">
      <c r="A170" t="s">
        <v>45</v>
      </c>
      <c r="B170" t="s">
        <v>260</v>
      </c>
      <c r="C170" t="s">
        <v>92</v>
      </c>
      <c r="D170">
        <v>3299</v>
      </c>
      <c r="E170" t="s">
        <v>1179</v>
      </c>
    </row>
    <row r="171" spans="1:5" x14ac:dyDescent="0.25">
      <c r="A171" t="s">
        <v>45</v>
      </c>
      <c r="B171" t="s">
        <v>405</v>
      </c>
      <c r="C171" t="s">
        <v>92</v>
      </c>
      <c r="D171">
        <v>510</v>
      </c>
      <c r="E171" t="s">
        <v>1180</v>
      </c>
    </row>
    <row r="172" spans="1:5" x14ac:dyDescent="0.25">
      <c r="A172" t="s">
        <v>45</v>
      </c>
      <c r="B172" t="s">
        <v>405</v>
      </c>
      <c r="C172" t="s">
        <v>92</v>
      </c>
      <c r="D172">
        <v>2476</v>
      </c>
      <c r="E172" t="s">
        <v>1181</v>
      </c>
    </row>
    <row r="173" spans="1:5" x14ac:dyDescent="0.25">
      <c r="A173" t="s">
        <v>45</v>
      </c>
      <c r="B173" t="s">
        <v>405</v>
      </c>
      <c r="C173" t="s">
        <v>92</v>
      </c>
      <c r="D173">
        <v>4834</v>
      </c>
      <c r="E173" t="s">
        <v>1182</v>
      </c>
    </row>
    <row r="174" spans="1:5" x14ac:dyDescent="0.25">
      <c r="A174" t="s">
        <v>45</v>
      </c>
      <c r="B174" t="s">
        <v>405</v>
      </c>
      <c r="C174" t="s">
        <v>92</v>
      </c>
      <c r="D174">
        <v>6935</v>
      </c>
      <c r="E174" t="s">
        <v>1183</v>
      </c>
    </row>
    <row r="175" spans="1:5" x14ac:dyDescent="0.25">
      <c r="A175" t="s">
        <v>45</v>
      </c>
      <c r="B175" t="s">
        <v>408</v>
      </c>
      <c r="C175" t="s">
        <v>92</v>
      </c>
      <c r="D175">
        <v>1270</v>
      </c>
      <c r="E175" t="s">
        <v>1184</v>
      </c>
    </row>
    <row r="176" spans="1:5" x14ac:dyDescent="0.25">
      <c r="A176" t="s">
        <v>45</v>
      </c>
      <c r="B176" t="s">
        <v>408</v>
      </c>
      <c r="C176" t="s">
        <v>92</v>
      </c>
      <c r="D176">
        <v>2044</v>
      </c>
      <c r="E176" t="s">
        <v>1185</v>
      </c>
    </row>
    <row r="177" spans="1:5" x14ac:dyDescent="0.25">
      <c r="A177" t="s">
        <v>45</v>
      </c>
      <c r="B177" t="s">
        <v>408</v>
      </c>
      <c r="C177" t="s">
        <v>92</v>
      </c>
      <c r="D177">
        <v>2560</v>
      </c>
      <c r="E177" t="s">
        <v>1186</v>
      </c>
    </row>
    <row r="178" spans="1:5" x14ac:dyDescent="0.25">
      <c r="A178" t="s">
        <v>45</v>
      </c>
      <c r="B178" t="s">
        <v>389</v>
      </c>
      <c r="C178" t="s">
        <v>92</v>
      </c>
      <c r="D178">
        <v>780</v>
      </c>
      <c r="E178" t="s">
        <v>1187</v>
      </c>
    </row>
    <row r="179" spans="1:5" x14ac:dyDescent="0.25">
      <c r="A179" t="s">
        <v>45</v>
      </c>
      <c r="B179" t="s">
        <v>389</v>
      </c>
      <c r="C179" t="s">
        <v>92</v>
      </c>
      <c r="D179">
        <v>7695</v>
      </c>
      <c r="E179" t="s">
        <v>1188</v>
      </c>
    </row>
    <row r="180" spans="1:5" x14ac:dyDescent="0.25">
      <c r="A180" t="s">
        <v>45</v>
      </c>
      <c r="B180" t="s">
        <v>394</v>
      </c>
      <c r="C180" t="s">
        <v>92</v>
      </c>
      <c r="D180">
        <v>780</v>
      </c>
      <c r="E180" t="s">
        <v>1189</v>
      </c>
    </row>
    <row r="181" spans="1:5" x14ac:dyDescent="0.25">
      <c r="A181" t="s">
        <v>45</v>
      </c>
      <c r="B181" t="s">
        <v>394</v>
      </c>
      <c r="C181" t="s">
        <v>92</v>
      </c>
      <c r="D181">
        <v>6252</v>
      </c>
      <c r="E181" t="s">
        <v>1188</v>
      </c>
    </row>
    <row r="182" spans="1:5" x14ac:dyDescent="0.25">
      <c r="A182" t="s">
        <v>45</v>
      </c>
      <c r="B182" t="s">
        <v>400</v>
      </c>
      <c r="C182" t="s">
        <v>92</v>
      </c>
      <c r="D182">
        <v>791</v>
      </c>
      <c r="E182" t="s">
        <v>1190</v>
      </c>
    </row>
    <row r="183" spans="1:5" x14ac:dyDescent="0.25">
      <c r="A183" t="s">
        <v>45</v>
      </c>
      <c r="B183" t="s">
        <v>400</v>
      </c>
      <c r="C183" t="s">
        <v>92</v>
      </c>
      <c r="D183">
        <v>2343</v>
      </c>
      <c r="E183" t="s">
        <v>1191</v>
      </c>
    </row>
    <row r="184" spans="1:5" x14ac:dyDescent="0.25">
      <c r="A184" t="s">
        <v>45</v>
      </c>
      <c r="B184" t="s">
        <v>113</v>
      </c>
      <c r="C184" t="s">
        <v>92</v>
      </c>
      <c r="D184">
        <v>387</v>
      </c>
      <c r="E184" t="s">
        <v>1192</v>
      </c>
    </row>
    <row r="185" spans="1:5" x14ac:dyDescent="0.25">
      <c r="A185" t="s">
        <v>45</v>
      </c>
      <c r="B185" t="s">
        <v>113</v>
      </c>
      <c r="C185" t="s">
        <v>92</v>
      </c>
      <c r="D185">
        <v>2858</v>
      </c>
      <c r="E185" t="s">
        <v>1193</v>
      </c>
    </row>
    <row r="186" spans="1:5" x14ac:dyDescent="0.25">
      <c r="A186" t="s">
        <v>45</v>
      </c>
      <c r="B186" t="s">
        <v>520</v>
      </c>
      <c r="C186" t="s">
        <v>92</v>
      </c>
      <c r="D186">
        <v>377</v>
      </c>
      <c r="E186" t="s">
        <v>1194</v>
      </c>
    </row>
    <row r="187" spans="1:5" x14ac:dyDescent="0.25">
      <c r="A187" t="s">
        <v>45</v>
      </c>
      <c r="B187" t="s">
        <v>520</v>
      </c>
      <c r="C187" t="s">
        <v>92</v>
      </c>
      <c r="D187">
        <v>2214</v>
      </c>
      <c r="E187" t="s">
        <v>1195</v>
      </c>
    </row>
    <row r="188" spans="1:5" x14ac:dyDescent="0.25">
      <c r="A188" t="s">
        <v>45</v>
      </c>
      <c r="B188" t="s">
        <v>523</v>
      </c>
      <c r="C188" t="s">
        <v>92</v>
      </c>
      <c r="D188">
        <v>392</v>
      </c>
      <c r="E188" t="s">
        <v>1196</v>
      </c>
    </row>
    <row r="189" spans="1:5" x14ac:dyDescent="0.25">
      <c r="A189" t="s">
        <v>45</v>
      </c>
      <c r="B189" t="s">
        <v>523</v>
      </c>
      <c r="C189" t="s">
        <v>92</v>
      </c>
      <c r="D189">
        <v>2348</v>
      </c>
      <c r="E189" t="s">
        <v>1197</v>
      </c>
    </row>
    <row r="190" spans="1:5" x14ac:dyDescent="0.25">
      <c r="A190" t="s">
        <v>45</v>
      </c>
      <c r="B190" t="s">
        <v>526</v>
      </c>
      <c r="C190" t="s">
        <v>92</v>
      </c>
      <c r="D190">
        <v>451</v>
      </c>
      <c r="E190" t="s">
        <v>1198</v>
      </c>
    </row>
    <row r="191" spans="1:5" x14ac:dyDescent="0.25">
      <c r="A191" t="s">
        <v>45</v>
      </c>
      <c r="B191" t="s">
        <v>526</v>
      </c>
      <c r="C191" t="s">
        <v>92</v>
      </c>
      <c r="D191">
        <v>2239</v>
      </c>
      <c r="E191" t="s">
        <v>1199</v>
      </c>
    </row>
    <row r="192" spans="1:5" x14ac:dyDescent="0.25">
      <c r="A192" t="s">
        <v>45</v>
      </c>
      <c r="B192" t="s">
        <v>174</v>
      </c>
      <c r="C192" t="s">
        <v>92</v>
      </c>
      <c r="D192">
        <v>436</v>
      </c>
      <c r="E192" t="s">
        <v>1200</v>
      </c>
    </row>
    <row r="193" spans="1:5" x14ac:dyDescent="0.25">
      <c r="A193" t="s">
        <v>45</v>
      </c>
      <c r="B193" t="s">
        <v>174</v>
      </c>
      <c r="C193" t="s">
        <v>92</v>
      </c>
      <c r="D193">
        <v>3810</v>
      </c>
      <c r="E193" t="s">
        <v>1201</v>
      </c>
    </row>
    <row r="194" spans="1:5" x14ac:dyDescent="0.25">
      <c r="A194" t="s">
        <v>45</v>
      </c>
      <c r="B194" t="s">
        <v>298</v>
      </c>
      <c r="C194" t="s">
        <v>92</v>
      </c>
      <c r="D194">
        <v>559</v>
      </c>
      <c r="E194" t="s">
        <v>1202</v>
      </c>
    </row>
    <row r="195" spans="1:5" x14ac:dyDescent="0.25">
      <c r="A195" t="s">
        <v>45</v>
      </c>
      <c r="B195" t="s">
        <v>298</v>
      </c>
      <c r="C195" t="s">
        <v>92</v>
      </c>
      <c r="D195">
        <v>2867</v>
      </c>
      <c r="E195" t="s">
        <v>1203</v>
      </c>
    </row>
    <row r="196" spans="1:5" x14ac:dyDescent="0.25">
      <c r="A196" t="s">
        <v>45</v>
      </c>
      <c r="B196" t="s">
        <v>298</v>
      </c>
      <c r="C196" t="s">
        <v>92</v>
      </c>
      <c r="D196">
        <v>2920</v>
      </c>
      <c r="E196" t="s">
        <v>1204</v>
      </c>
    </row>
    <row r="197" spans="1:5" x14ac:dyDescent="0.25">
      <c r="A197" t="s">
        <v>45</v>
      </c>
      <c r="B197" t="s">
        <v>540</v>
      </c>
      <c r="C197" t="s">
        <v>92</v>
      </c>
      <c r="D197">
        <v>386</v>
      </c>
      <c r="E197" t="s">
        <v>1205</v>
      </c>
    </row>
    <row r="198" spans="1:5" x14ac:dyDescent="0.25">
      <c r="A198" t="s">
        <v>45</v>
      </c>
      <c r="B198" t="s">
        <v>540</v>
      </c>
      <c r="C198" t="s">
        <v>92</v>
      </c>
      <c r="D198">
        <v>2045</v>
      </c>
      <c r="E198" t="s">
        <v>1206</v>
      </c>
    </row>
    <row r="199" spans="1:5" x14ac:dyDescent="0.25">
      <c r="A199" t="s">
        <v>45</v>
      </c>
      <c r="B199" t="s">
        <v>413</v>
      </c>
      <c r="C199" t="s">
        <v>92</v>
      </c>
      <c r="D199">
        <v>644</v>
      </c>
      <c r="E199" t="s">
        <v>1207</v>
      </c>
    </row>
    <row r="200" spans="1:5" x14ac:dyDescent="0.25">
      <c r="A200" t="s">
        <v>45</v>
      </c>
      <c r="B200" t="s">
        <v>561</v>
      </c>
      <c r="C200" t="s">
        <v>92</v>
      </c>
      <c r="D200">
        <v>586</v>
      </c>
      <c r="E200" t="s">
        <v>1208</v>
      </c>
    </row>
    <row r="201" spans="1:5" x14ac:dyDescent="0.25">
      <c r="A201" t="s">
        <v>45</v>
      </c>
      <c r="B201" t="s">
        <v>561</v>
      </c>
      <c r="C201" t="s">
        <v>92</v>
      </c>
      <c r="D201">
        <v>6481</v>
      </c>
      <c r="E201" t="s">
        <v>1209</v>
      </c>
    </row>
    <row r="202" spans="1:5" x14ac:dyDescent="0.25">
      <c r="A202" t="s">
        <v>45</v>
      </c>
      <c r="B202" t="s">
        <v>564</v>
      </c>
      <c r="C202" t="s">
        <v>92</v>
      </c>
      <c r="D202">
        <v>343</v>
      </c>
      <c r="E202" t="s">
        <v>1210</v>
      </c>
    </row>
    <row r="203" spans="1:5" x14ac:dyDescent="0.25">
      <c r="A203" t="s">
        <v>45</v>
      </c>
      <c r="B203" t="s">
        <v>564</v>
      </c>
      <c r="C203" t="s">
        <v>92</v>
      </c>
      <c r="D203">
        <v>7443</v>
      </c>
      <c r="E203" t="s">
        <v>1209</v>
      </c>
    </row>
    <row r="204" spans="1:5" x14ac:dyDescent="0.25">
      <c r="A204" t="s">
        <v>45</v>
      </c>
      <c r="B204" t="s">
        <v>148</v>
      </c>
      <c r="C204" t="s">
        <v>92</v>
      </c>
      <c r="D204">
        <v>3528</v>
      </c>
      <c r="E204" t="s">
        <v>1211</v>
      </c>
    </row>
    <row r="205" spans="1:5" x14ac:dyDescent="0.25">
      <c r="A205" t="s">
        <v>45</v>
      </c>
      <c r="B205" t="s">
        <v>529</v>
      </c>
      <c r="C205" t="s">
        <v>92</v>
      </c>
      <c r="D205">
        <v>881</v>
      </c>
      <c r="E205" t="s">
        <v>1212</v>
      </c>
    </row>
    <row r="206" spans="1:5" x14ac:dyDescent="0.25">
      <c r="A206" t="s">
        <v>45</v>
      </c>
      <c r="B206" t="s">
        <v>529</v>
      </c>
      <c r="C206" t="s">
        <v>92</v>
      </c>
      <c r="D206">
        <v>3290</v>
      </c>
      <c r="E206" t="s">
        <v>1213</v>
      </c>
    </row>
    <row r="207" spans="1:5" x14ac:dyDescent="0.25">
      <c r="A207" t="s">
        <v>45</v>
      </c>
      <c r="B207" t="s">
        <v>532</v>
      </c>
      <c r="C207" t="s">
        <v>92</v>
      </c>
      <c r="D207">
        <v>682</v>
      </c>
      <c r="E207" t="s">
        <v>1214</v>
      </c>
    </row>
    <row r="208" spans="1:5" x14ac:dyDescent="0.25">
      <c r="A208" t="s">
        <v>45</v>
      </c>
      <c r="B208" t="s">
        <v>532</v>
      </c>
      <c r="C208" t="s">
        <v>92</v>
      </c>
      <c r="D208">
        <v>2364</v>
      </c>
      <c r="E208" t="s">
        <v>1215</v>
      </c>
    </row>
    <row r="209" spans="1:5" x14ac:dyDescent="0.25">
      <c r="A209" t="s">
        <v>45</v>
      </c>
      <c r="B209" t="s">
        <v>535</v>
      </c>
      <c r="C209" t="s">
        <v>92</v>
      </c>
      <c r="D209">
        <v>2694</v>
      </c>
      <c r="E209" t="s">
        <v>1216</v>
      </c>
    </row>
    <row r="210" spans="1:5" x14ac:dyDescent="0.25">
      <c r="A210" t="s">
        <v>45</v>
      </c>
      <c r="B210" t="s">
        <v>569</v>
      </c>
      <c r="C210" t="s">
        <v>92</v>
      </c>
      <c r="D210">
        <v>449</v>
      </c>
      <c r="E210" t="s">
        <v>1217</v>
      </c>
    </row>
    <row r="211" spans="1:5" x14ac:dyDescent="0.25">
      <c r="A211" t="s">
        <v>45</v>
      </c>
      <c r="B211" t="s">
        <v>569</v>
      </c>
      <c r="C211" t="s">
        <v>92</v>
      </c>
      <c r="D211">
        <v>3253</v>
      </c>
      <c r="E211" t="s">
        <v>1218</v>
      </c>
    </row>
    <row r="212" spans="1:5" x14ac:dyDescent="0.25">
      <c r="A212" t="s">
        <v>45</v>
      </c>
      <c r="B212" t="s">
        <v>416</v>
      </c>
      <c r="C212" t="s">
        <v>92</v>
      </c>
      <c r="D212">
        <v>326</v>
      </c>
      <c r="E212" t="s">
        <v>1219</v>
      </c>
    </row>
    <row r="213" spans="1:5" x14ac:dyDescent="0.25">
      <c r="A213" t="s">
        <v>45</v>
      </c>
      <c r="B213" t="s">
        <v>416</v>
      </c>
      <c r="C213" t="s">
        <v>92</v>
      </c>
      <c r="D213">
        <v>1181</v>
      </c>
      <c r="E213" t="s">
        <v>1220</v>
      </c>
    </row>
    <row r="214" spans="1:5" x14ac:dyDescent="0.25">
      <c r="A214" t="s">
        <v>45</v>
      </c>
      <c r="B214" t="s">
        <v>416</v>
      </c>
      <c r="C214" t="s">
        <v>92</v>
      </c>
      <c r="D214">
        <v>1252</v>
      </c>
      <c r="E214" t="s">
        <v>1221</v>
      </c>
    </row>
    <row r="215" spans="1:5" x14ac:dyDescent="0.25">
      <c r="A215" t="s">
        <v>45</v>
      </c>
      <c r="B215" t="s">
        <v>416</v>
      </c>
      <c r="C215" t="s">
        <v>92</v>
      </c>
      <c r="D215">
        <v>1940</v>
      </c>
      <c r="E215" t="s">
        <v>1222</v>
      </c>
    </row>
    <row r="216" spans="1:5" x14ac:dyDescent="0.25">
      <c r="A216" t="s">
        <v>45</v>
      </c>
      <c r="B216" t="s">
        <v>416</v>
      </c>
      <c r="C216" t="s">
        <v>92</v>
      </c>
      <c r="D216">
        <v>2011</v>
      </c>
      <c r="E216" t="s">
        <v>1223</v>
      </c>
    </row>
    <row r="217" spans="1:5" x14ac:dyDescent="0.25">
      <c r="A217" t="s">
        <v>45</v>
      </c>
      <c r="B217" t="s">
        <v>416</v>
      </c>
      <c r="C217" t="s">
        <v>92</v>
      </c>
      <c r="D217">
        <v>2677</v>
      </c>
      <c r="E217" t="s">
        <v>1224</v>
      </c>
    </row>
    <row r="218" spans="1:5" x14ac:dyDescent="0.25">
      <c r="A218" t="s">
        <v>45</v>
      </c>
      <c r="B218" t="s">
        <v>416</v>
      </c>
      <c r="C218" t="s">
        <v>92</v>
      </c>
      <c r="D218">
        <v>2748</v>
      </c>
      <c r="E218" t="s">
        <v>1225</v>
      </c>
    </row>
    <row r="219" spans="1:5" x14ac:dyDescent="0.25">
      <c r="A219" t="s">
        <v>45</v>
      </c>
      <c r="B219" t="s">
        <v>572</v>
      </c>
      <c r="C219" t="s">
        <v>92</v>
      </c>
      <c r="D219">
        <v>366</v>
      </c>
      <c r="E219" t="s">
        <v>1226</v>
      </c>
    </row>
    <row r="220" spans="1:5" x14ac:dyDescent="0.25">
      <c r="A220" t="s">
        <v>45</v>
      </c>
      <c r="B220" t="s">
        <v>572</v>
      </c>
      <c r="C220" t="s">
        <v>92</v>
      </c>
      <c r="D220">
        <v>1982</v>
      </c>
      <c r="E220" t="s">
        <v>1227</v>
      </c>
    </row>
    <row r="221" spans="1:5" x14ac:dyDescent="0.25">
      <c r="A221" t="s">
        <v>45</v>
      </c>
      <c r="B221" t="s">
        <v>575</v>
      </c>
      <c r="C221" t="s">
        <v>92</v>
      </c>
      <c r="D221">
        <v>488</v>
      </c>
      <c r="E221" t="s">
        <v>1228</v>
      </c>
    </row>
    <row r="222" spans="1:5" x14ac:dyDescent="0.25">
      <c r="A222" t="s">
        <v>45</v>
      </c>
      <c r="B222" t="s">
        <v>575</v>
      </c>
      <c r="C222" t="s">
        <v>92</v>
      </c>
      <c r="D222">
        <v>2519</v>
      </c>
      <c r="E222" t="s">
        <v>1229</v>
      </c>
    </row>
    <row r="223" spans="1:5" x14ac:dyDescent="0.25">
      <c r="A223" t="s">
        <v>45</v>
      </c>
      <c r="B223" t="s">
        <v>578</v>
      </c>
      <c r="C223" t="s">
        <v>92</v>
      </c>
      <c r="D223">
        <v>383</v>
      </c>
      <c r="E223" t="s">
        <v>1230</v>
      </c>
    </row>
    <row r="224" spans="1:5" x14ac:dyDescent="0.25">
      <c r="A224" t="s">
        <v>45</v>
      </c>
      <c r="B224" t="s">
        <v>578</v>
      </c>
      <c r="C224" t="s">
        <v>92</v>
      </c>
      <c r="D224">
        <v>1312</v>
      </c>
      <c r="E224" t="s">
        <v>1231</v>
      </c>
    </row>
    <row r="225" spans="1:5" x14ac:dyDescent="0.25">
      <c r="A225" t="s">
        <v>45</v>
      </c>
      <c r="B225" t="s">
        <v>581</v>
      </c>
      <c r="C225" t="s">
        <v>92</v>
      </c>
      <c r="D225">
        <v>541</v>
      </c>
      <c r="E225" t="s">
        <v>1232</v>
      </c>
    </row>
    <row r="226" spans="1:5" x14ac:dyDescent="0.25">
      <c r="A226" t="s">
        <v>45</v>
      </c>
      <c r="B226" t="s">
        <v>581</v>
      </c>
      <c r="C226" t="s">
        <v>92</v>
      </c>
      <c r="D226">
        <v>3544</v>
      </c>
      <c r="E226" t="s">
        <v>1233</v>
      </c>
    </row>
    <row r="227" spans="1:5" x14ac:dyDescent="0.25">
      <c r="A227" t="s">
        <v>45</v>
      </c>
      <c r="B227" t="s">
        <v>153</v>
      </c>
      <c r="C227" t="s">
        <v>92</v>
      </c>
      <c r="D227">
        <v>841</v>
      </c>
      <c r="E227" t="s">
        <v>1234</v>
      </c>
    </row>
    <row r="228" spans="1:5" x14ac:dyDescent="0.25">
      <c r="A228" t="s">
        <v>45</v>
      </c>
      <c r="B228" t="s">
        <v>153</v>
      </c>
      <c r="C228" t="s">
        <v>92</v>
      </c>
      <c r="D228">
        <v>4997</v>
      </c>
      <c r="E228" t="s">
        <v>1235</v>
      </c>
    </row>
    <row r="229" spans="1:5" x14ac:dyDescent="0.25">
      <c r="A229" t="s">
        <v>45</v>
      </c>
      <c r="B229" t="s">
        <v>153</v>
      </c>
      <c r="C229" t="s">
        <v>92</v>
      </c>
      <c r="D229">
        <v>7586</v>
      </c>
      <c r="E229" t="s">
        <v>1236</v>
      </c>
    </row>
    <row r="230" spans="1:5" x14ac:dyDescent="0.25">
      <c r="A230" t="s">
        <v>45</v>
      </c>
      <c r="B230" t="s">
        <v>156</v>
      </c>
      <c r="C230" t="s">
        <v>92</v>
      </c>
      <c r="D230">
        <v>593</v>
      </c>
      <c r="E230" t="s">
        <v>1237</v>
      </c>
    </row>
    <row r="231" spans="1:5" x14ac:dyDescent="0.25">
      <c r="A231" t="s">
        <v>45</v>
      </c>
      <c r="B231" t="s">
        <v>270</v>
      </c>
      <c r="C231" t="s">
        <v>92</v>
      </c>
      <c r="D231">
        <v>496</v>
      </c>
      <c r="E231" t="s">
        <v>1238</v>
      </c>
    </row>
    <row r="232" spans="1:5" x14ac:dyDescent="0.25">
      <c r="A232" t="s">
        <v>45</v>
      </c>
      <c r="B232" t="s">
        <v>273</v>
      </c>
      <c r="C232" t="s">
        <v>92</v>
      </c>
      <c r="D232">
        <v>496</v>
      </c>
      <c r="E232" t="s">
        <v>1239</v>
      </c>
    </row>
    <row r="233" spans="1:5" x14ac:dyDescent="0.25">
      <c r="A233" t="s">
        <v>45</v>
      </c>
      <c r="B233" t="s">
        <v>419</v>
      </c>
      <c r="C233" t="s">
        <v>92</v>
      </c>
      <c r="D233">
        <v>394</v>
      </c>
      <c r="E233" t="s">
        <v>1240</v>
      </c>
    </row>
    <row r="234" spans="1:5" x14ac:dyDescent="0.25">
      <c r="A234" t="s">
        <v>45</v>
      </c>
      <c r="B234" t="s">
        <v>586</v>
      </c>
      <c r="C234" t="s">
        <v>92</v>
      </c>
      <c r="D234">
        <v>606</v>
      </c>
      <c r="E234" t="s">
        <v>1241</v>
      </c>
    </row>
    <row r="235" spans="1:5" x14ac:dyDescent="0.25">
      <c r="A235" t="s">
        <v>45</v>
      </c>
      <c r="B235" t="s">
        <v>586</v>
      </c>
      <c r="C235" t="s">
        <v>92</v>
      </c>
      <c r="D235">
        <v>1442</v>
      </c>
      <c r="E235" t="s">
        <v>1242</v>
      </c>
    </row>
    <row r="236" spans="1:5" x14ac:dyDescent="0.25">
      <c r="A236" t="s">
        <v>45</v>
      </c>
      <c r="B236" t="s">
        <v>586</v>
      </c>
      <c r="C236" t="s">
        <v>92</v>
      </c>
      <c r="D236">
        <v>1758</v>
      </c>
      <c r="E236" t="s">
        <v>1243</v>
      </c>
    </row>
    <row r="237" spans="1:5" x14ac:dyDescent="0.25">
      <c r="A237" t="s">
        <v>45</v>
      </c>
      <c r="B237" t="s">
        <v>160</v>
      </c>
      <c r="C237" t="s">
        <v>92</v>
      </c>
      <c r="D237">
        <v>532</v>
      </c>
      <c r="E237" t="s">
        <v>1244</v>
      </c>
    </row>
    <row r="238" spans="1:5" x14ac:dyDescent="0.25">
      <c r="A238" t="s">
        <v>45</v>
      </c>
      <c r="B238" t="s">
        <v>160</v>
      </c>
      <c r="C238" t="s">
        <v>92</v>
      </c>
      <c r="D238">
        <v>770</v>
      </c>
      <c r="E238" t="s">
        <v>1245</v>
      </c>
    </row>
    <row r="239" spans="1:5" x14ac:dyDescent="0.25">
      <c r="A239" t="s">
        <v>45</v>
      </c>
      <c r="B239" t="s">
        <v>160</v>
      </c>
      <c r="C239" t="s">
        <v>92</v>
      </c>
      <c r="D239">
        <v>1613</v>
      </c>
      <c r="E239" t="s">
        <v>1242</v>
      </c>
    </row>
    <row r="240" spans="1:5" x14ac:dyDescent="0.25">
      <c r="A240" t="s">
        <v>45</v>
      </c>
      <c r="B240" t="s">
        <v>160</v>
      </c>
      <c r="C240" t="s">
        <v>92</v>
      </c>
      <c r="D240">
        <v>1929</v>
      </c>
      <c r="E240" t="s">
        <v>1243</v>
      </c>
    </row>
    <row r="241" spans="1:5" x14ac:dyDescent="0.25">
      <c r="A241" t="s">
        <v>45</v>
      </c>
      <c r="B241" t="s">
        <v>167</v>
      </c>
      <c r="C241" t="s">
        <v>92</v>
      </c>
      <c r="D241">
        <v>535</v>
      </c>
      <c r="E241" t="s">
        <v>1246</v>
      </c>
    </row>
    <row r="242" spans="1:5" x14ac:dyDescent="0.25">
      <c r="A242" t="s">
        <v>45</v>
      </c>
      <c r="B242" t="s">
        <v>275</v>
      </c>
      <c r="C242" t="s">
        <v>92</v>
      </c>
      <c r="D242">
        <v>535</v>
      </c>
      <c r="E242" t="s">
        <v>1247</v>
      </c>
    </row>
    <row r="243" spans="1:5" x14ac:dyDescent="0.25">
      <c r="A243" t="s">
        <v>45</v>
      </c>
      <c r="B243" t="s">
        <v>278</v>
      </c>
      <c r="C243" t="s">
        <v>92</v>
      </c>
      <c r="D243">
        <v>535</v>
      </c>
      <c r="E243" t="s">
        <v>1248</v>
      </c>
    </row>
    <row r="244" spans="1:5" x14ac:dyDescent="0.25">
      <c r="A244" t="s">
        <v>45</v>
      </c>
      <c r="B244" t="s">
        <v>278</v>
      </c>
      <c r="C244" t="s">
        <v>92</v>
      </c>
      <c r="D244">
        <v>770</v>
      </c>
      <c r="E244" t="s">
        <v>1249</v>
      </c>
    </row>
    <row r="245" spans="1:5" x14ac:dyDescent="0.25">
      <c r="A245" t="s">
        <v>45</v>
      </c>
      <c r="B245" t="s">
        <v>278</v>
      </c>
      <c r="C245" t="s">
        <v>92</v>
      </c>
      <c r="D245">
        <v>1613</v>
      </c>
      <c r="E245" t="s">
        <v>1242</v>
      </c>
    </row>
    <row r="246" spans="1:5" x14ac:dyDescent="0.25">
      <c r="A246" t="s">
        <v>45</v>
      </c>
      <c r="B246" t="s">
        <v>278</v>
      </c>
      <c r="C246" t="s">
        <v>92</v>
      </c>
      <c r="D246">
        <v>1929</v>
      </c>
      <c r="E246" t="s">
        <v>1250</v>
      </c>
    </row>
    <row r="247" spans="1:5" x14ac:dyDescent="0.25">
      <c r="A247" t="s">
        <v>45</v>
      </c>
      <c r="B247" t="s">
        <v>426</v>
      </c>
      <c r="C247" t="s">
        <v>92</v>
      </c>
      <c r="D247">
        <v>535</v>
      </c>
      <c r="E247" t="s">
        <v>1251</v>
      </c>
    </row>
    <row r="248" spans="1:5" x14ac:dyDescent="0.25">
      <c r="A248" t="s">
        <v>45</v>
      </c>
      <c r="B248" t="s">
        <v>426</v>
      </c>
      <c r="C248" t="s">
        <v>92</v>
      </c>
      <c r="D248">
        <v>776</v>
      </c>
      <c r="E248" t="s">
        <v>1252</v>
      </c>
    </row>
    <row r="249" spans="1:5" x14ac:dyDescent="0.25">
      <c r="A249" t="s">
        <v>45</v>
      </c>
      <c r="B249" t="s">
        <v>426</v>
      </c>
      <c r="C249" t="s">
        <v>92</v>
      </c>
      <c r="D249">
        <v>1620</v>
      </c>
      <c r="E249" t="s">
        <v>1242</v>
      </c>
    </row>
    <row r="250" spans="1:5" x14ac:dyDescent="0.25">
      <c r="A250" t="s">
        <v>45</v>
      </c>
      <c r="B250" t="s">
        <v>426</v>
      </c>
      <c r="C250" t="s">
        <v>92</v>
      </c>
      <c r="D250">
        <v>1936</v>
      </c>
      <c r="E250" t="s">
        <v>1243</v>
      </c>
    </row>
    <row r="251" spans="1:5" x14ac:dyDescent="0.25">
      <c r="A251" t="s">
        <v>45</v>
      </c>
      <c r="B251" t="s">
        <v>429</v>
      </c>
      <c r="C251" t="s">
        <v>92</v>
      </c>
      <c r="D251">
        <v>535</v>
      </c>
      <c r="E251" t="s">
        <v>1253</v>
      </c>
    </row>
    <row r="252" spans="1:5" x14ac:dyDescent="0.25">
      <c r="A252" t="s">
        <v>45</v>
      </c>
      <c r="B252" t="s">
        <v>170</v>
      </c>
      <c r="C252" t="s">
        <v>92</v>
      </c>
      <c r="D252">
        <v>245</v>
      </c>
      <c r="E252" t="s">
        <v>1254</v>
      </c>
    </row>
    <row r="253" spans="1:5" x14ac:dyDescent="0.25">
      <c r="A253" t="s">
        <v>45</v>
      </c>
      <c r="B253" t="s">
        <v>281</v>
      </c>
      <c r="C253" t="s">
        <v>92</v>
      </c>
      <c r="D253">
        <v>245</v>
      </c>
      <c r="E253" t="s">
        <v>1255</v>
      </c>
    </row>
    <row r="254" spans="1:5" x14ac:dyDescent="0.25">
      <c r="A254" t="s">
        <v>45</v>
      </c>
      <c r="B254" t="s">
        <v>432</v>
      </c>
      <c r="C254" t="s">
        <v>92</v>
      </c>
      <c r="D254">
        <v>245</v>
      </c>
      <c r="E254" t="s">
        <v>1256</v>
      </c>
    </row>
    <row r="255" spans="1:5" x14ac:dyDescent="0.25">
      <c r="A255" t="s">
        <v>45</v>
      </c>
      <c r="B255" t="s">
        <v>84</v>
      </c>
      <c r="C255" t="s">
        <v>47</v>
      </c>
      <c r="D255">
        <v>283</v>
      </c>
      <c r="E255" t="s">
        <v>1257</v>
      </c>
    </row>
    <row r="256" spans="1:5" x14ac:dyDescent="0.25">
      <c r="A256" t="s">
        <v>45</v>
      </c>
      <c r="B256" t="s">
        <v>84</v>
      </c>
      <c r="C256" t="s">
        <v>47</v>
      </c>
      <c r="D256">
        <v>1018</v>
      </c>
      <c r="E256" t="s">
        <v>1258</v>
      </c>
    </row>
    <row r="257" spans="1:5" x14ac:dyDescent="0.25">
      <c r="A257" t="s">
        <v>45</v>
      </c>
      <c r="B257" t="s">
        <v>84</v>
      </c>
      <c r="C257" t="s">
        <v>47</v>
      </c>
      <c r="D257">
        <v>1326</v>
      </c>
      <c r="E257" t="s">
        <v>1259</v>
      </c>
    </row>
    <row r="258" spans="1:5" x14ac:dyDescent="0.25">
      <c r="A258" t="s">
        <v>45</v>
      </c>
      <c r="B258" t="s">
        <v>84</v>
      </c>
      <c r="C258" t="s">
        <v>47</v>
      </c>
      <c r="D258">
        <v>1635</v>
      </c>
      <c r="E258" t="s">
        <v>1260</v>
      </c>
    </row>
    <row r="259" spans="1:5" x14ac:dyDescent="0.25">
      <c r="A259" t="s">
        <v>45</v>
      </c>
      <c r="B259" t="s">
        <v>87</v>
      </c>
      <c r="C259" t="s">
        <v>47</v>
      </c>
      <c r="D259">
        <v>283</v>
      </c>
      <c r="E259" t="s">
        <v>1257</v>
      </c>
    </row>
    <row r="260" spans="1:5" x14ac:dyDescent="0.25">
      <c r="A260" t="s">
        <v>45</v>
      </c>
      <c r="B260" t="s">
        <v>87</v>
      </c>
      <c r="C260" t="s">
        <v>47</v>
      </c>
      <c r="D260">
        <v>1018</v>
      </c>
      <c r="E260" t="s">
        <v>1261</v>
      </c>
    </row>
    <row r="261" spans="1:5" x14ac:dyDescent="0.25">
      <c r="A261" t="s">
        <v>45</v>
      </c>
      <c r="B261" t="s">
        <v>229</v>
      </c>
      <c r="C261" t="s">
        <v>47</v>
      </c>
      <c r="D261">
        <v>283</v>
      </c>
      <c r="E261" t="s">
        <v>1262</v>
      </c>
    </row>
    <row r="262" spans="1:5" x14ac:dyDescent="0.25">
      <c r="A262" t="s">
        <v>45</v>
      </c>
      <c r="B262" t="s">
        <v>229</v>
      </c>
      <c r="C262" t="s">
        <v>47</v>
      </c>
      <c r="D262">
        <v>1018</v>
      </c>
      <c r="E262" t="s">
        <v>1258</v>
      </c>
    </row>
    <row r="263" spans="1:5" x14ac:dyDescent="0.25">
      <c r="A263" t="s">
        <v>45</v>
      </c>
      <c r="B263" t="s">
        <v>229</v>
      </c>
      <c r="C263" t="s">
        <v>47</v>
      </c>
      <c r="D263">
        <v>1326</v>
      </c>
      <c r="E263" t="s">
        <v>1259</v>
      </c>
    </row>
    <row r="264" spans="1:5" x14ac:dyDescent="0.25">
      <c r="A264" t="s">
        <v>45</v>
      </c>
      <c r="B264" t="s">
        <v>229</v>
      </c>
      <c r="C264" t="s">
        <v>47</v>
      </c>
      <c r="D264">
        <v>1635</v>
      </c>
      <c r="E264" t="s">
        <v>1260</v>
      </c>
    </row>
    <row r="265" spans="1:5" x14ac:dyDescent="0.25">
      <c r="A265" t="s">
        <v>45</v>
      </c>
      <c r="B265" t="s">
        <v>359</v>
      </c>
      <c r="C265" t="s">
        <v>47</v>
      </c>
      <c r="D265">
        <v>283</v>
      </c>
      <c r="E265" t="s">
        <v>1263</v>
      </c>
    </row>
    <row r="266" spans="1:5" x14ac:dyDescent="0.25">
      <c r="A266" t="s">
        <v>45</v>
      </c>
      <c r="B266" t="s">
        <v>359</v>
      </c>
      <c r="C266" t="s">
        <v>47</v>
      </c>
      <c r="D266">
        <v>1018</v>
      </c>
      <c r="E266" t="s">
        <v>1258</v>
      </c>
    </row>
    <row r="267" spans="1:5" x14ac:dyDescent="0.25">
      <c r="A267" t="s">
        <v>45</v>
      </c>
      <c r="B267" t="s">
        <v>359</v>
      </c>
      <c r="C267" t="s">
        <v>47</v>
      </c>
      <c r="D267">
        <v>1326</v>
      </c>
      <c r="E267" t="s">
        <v>1259</v>
      </c>
    </row>
    <row r="268" spans="1:5" x14ac:dyDescent="0.25">
      <c r="A268" t="s">
        <v>45</v>
      </c>
      <c r="B268" t="s">
        <v>359</v>
      </c>
      <c r="C268" t="s">
        <v>47</v>
      </c>
      <c r="D268">
        <v>1635</v>
      </c>
      <c r="E268" t="s">
        <v>1260</v>
      </c>
    </row>
    <row r="269" spans="1:5" x14ac:dyDescent="0.25">
      <c r="A269" t="s">
        <v>45</v>
      </c>
      <c r="B269" t="s">
        <v>601</v>
      </c>
      <c r="C269" t="s">
        <v>92</v>
      </c>
      <c r="D269">
        <v>546</v>
      </c>
      <c r="E269" t="s">
        <v>1264</v>
      </c>
    </row>
    <row r="270" spans="1:5" x14ac:dyDescent="0.25">
      <c r="A270" t="s">
        <v>45</v>
      </c>
      <c r="B270" t="s">
        <v>601</v>
      </c>
      <c r="C270" t="s">
        <v>92</v>
      </c>
      <c r="D270">
        <v>7264</v>
      </c>
      <c r="E270" t="s">
        <v>1265</v>
      </c>
    </row>
    <row r="271" spans="1:5" x14ac:dyDescent="0.25">
      <c r="A271" t="s">
        <v>45</v>
      </c>
      <c r="B271" t="s">
        <v>284</v>
      </c>
      <c r="C271" t="s">
        <v>92</v>
      </c>
      <c r="D271">
        <v>634</v>
      </c>
      <c r="E271" t="s">
        <v>1266</v>
      </c>
    </row>
    <row r="272" spans="1:5" x14ac:dyDescent="0.25">
      <c r="A272" t="s">
        <v>45</v>
      </c>
      <c r="B272" t="s">
        <v>284</v>
      </c>
      <c r="C272" t="s">
        <v>92</v>
      </c>
      <c r="D272">
        <v>1128</v>
      </c>
      <c r="E272" t="s">
        <v>1267</v>
      </c>
    </row>
    <row r="273" spans="1:5" x14ac:dyDescent="0.25">
      <c r="A273" t="s">
        <v>45</v>
      </c>
      <c r="B273" t="s">
        <v>284</v>
      </c>
      <c r="C273" t="s">
        <v>92</v>
      </c>
      <c r="D273">
        <v>1183</v>
      </c>
      <c r="E273" t="s">
        <v>1268</v>
      </c>
    </row>
    <row r="274" spans="1:5" x14ac:dyDescent="0.25">
      <c r="A274" t="s">
        <v>45</v>
      </c>
      <c r="B274" t="s">
        <v>284</v>
      </c>
      <c r="C274" t="s">
        <v>92</v>
      </c>
      <c r="D274">
        <v>2932</v>
      </c>
      <c r="E274" t="s">
        <v>1269</v>
      </c>
    </row>
    <row r="275" spans="1:5" x14ac:dyDescent="0.25">
      <c r="A275" t="s">
        <v>45</v>
      </c>
      <c r="B275" t="s">
        <v>284</v>
      </c>
      <c r="C275" t="s">
        <v>92</v>
      </c>
      <c r="D275">
        <v>2974</v>
      </c>
      <c r="E275" t="s">
        <v>1270</v>
      </c>
    </row>
    <row r="276" spans="1:5" x14ac:dyDescent="0.25">
      <c r="A276" t="s">
        <v>45</v>
      </c>
      <c r="B276" t="s">
        <v>284</v>
      </c>
      <c r="C276" t="s">
        <v>92</v>
      </c>
      <c r="D276">
        <v>3003</v>
      </c>
      <c r="E276" t="s">
        <v>1271</v>
      </c>
    </row>
    <row r="277" spans="1:5" x14ac:dyDescent="0.25">
      <c r="A277" t="s">
        <v>45</v>
      </c>
      <c r="B277" t="s">
        <v>284</v>
      </c>
      <c r="C277" t="s">
        <v>92</v>
      </c>
      <c r="D277">
        <v>3881</v>
      </c>
      <c r="E277" t="s">
        <v>1272</v>
      </c>
    </row>
    <row r="278" spans="1:5" x14ac:dyDescent="0.25">
      <c r="A278" t="s">
        <v>45</v>
      </c>
      <c r="B278" t="s">
        <v>284</v>
      </c>
      <c r="C278" t="s">
        <v>92</v>
      </c>
      <c r="D278">
        <v>3992</v>
      </c>
      <c r="E278" t="s">
        <v>1273</v>
      </c>
    </row>
    <row r="279" spans="1:5" x14ac:dyDescent="0.25">
      <c r="A279" t="s">
        <v>45</v>
      </c>
      <c r="B279" t="s">
        <v>284</v>
      </c>
      <c r="C279" t="s">
        <v>92</v>
      </c>
      <c r="D279">
        <v>4043</v>
      </c>
      <c r="E279" t="s">
        <v>1274</v>
      </c>
    </row>
    <row r="280" spans="1:5" x14ac:dyDescent="0.25">
      <c r="A280" t="s">
        <v>45</v>
      </c>
      <c r="B280" t="s">
        <v>284</v>
      </c>
      <c r="C280" t="s">
        <v>92</v>
      </c>
      <c r="D280">
        <v>4177</v>
      </c>
      <c r="E280" t="s">
        <v>1275</v>
      </c>
    </row>
    <row r="281" spans="1:5" x14ac:dyDescent="0.25">
      <c r="A281" t="s">
        <v>45</v>
      </c>
      <c r="B281" t="s">
        <v>284</v>
      </c>
      <c r="C281" t="s">
        <v>92</v>
      </c>
      <c r="D281">
        <v>4486</v>
      </c>
      <c r="E281" t="s">
        <v>1276</v>
      </c>
    </row>
    <row r="282" spans="1:5" x14ac:dyDescent="0.25">
      <c r="A282" t="s">
        <v>45</v>
      </c>
      <c r="B282" t="s">
        <v>291</v>
      </c>
      <c r="C282" t="s">
        <v>92</v>
      </c>
      <c r="D282">
        <v>524</v>
      </c>
      <c r="E282" t="s">
        <v>1277</v>
      </c>
    </row>
    <row r="283" spans="1:5" x14ac:dyDescent="0.25">
      <c r="A283" t="s">
        <v>45</v>
      </c>
      <c r="B283" t="s">
        <v>291</v>
      </c>
      <c r="C283" t="s">
        <v>92</v>
      </c>
      <c r="D283">
        <v>1633</v>
      </c>
      <c r="E283" t="s">
        <v>1278</v>
      </c>
    </row>
    <row r="284" spans="1:5" x14ac:dyDescent="0.25">
      <c r="A284" t="s">
        <v>45</v>
      </c>
      <c r="B284" t="s">
        <v>291</v>
      </c>
      <c r="C284" t="s">
        <v>92</v>
      </c>
      <c r="D284">
        <v>1679</v>
      </c>
      <c r="E284" t="s">
        <v>1279</v>
      </c>
    </row>
    <row r="285" spans="1:5" x14ac:dyDescent="0.25">
      <c r="A285" t="s">
        <v>45</v>
      </c>
      <c r="B285" t="s">
        <v>291</v>
      </c>
      <c r="C285" t="s">
        <v>92</v>
      </c>
      <c r="D285">
        <v>2379</v>
      </c>
      <c r="E285" t="s">
        <v>1280</v>
      </c>
    </row>
    <row r="286" spans="1:5" x14ac:dyDescent="0.25">
      <c r="A286" t="s">
        <v>45</v>
      </c>
      <c r="B286" t="s">
        <v>291</v>
      </c>
      <c r="C286" t="s">
        <v>92</v>
      </c>
      <c r="D286">
        <v>2420</v>
      </c>
      <c r="E286" t="s">
        <v>1281</v>
      </c>
    </row>
    <row r="287" spans="1:5" x14ac:dyDescent="0.25">
      <c r="A287" t="s">
        <v>45</v>
      </c>
      <c r="B287" t="s">
        <v>291</v>
      </c>
      <c r="C287" t="s">
        <v>92</v>
      </c>
      <c r="D287">
        <v>2449</v>
      </c>
      <c r="E287" t="s">
        <v>1282</v>
      </c>
    </row>
    <row r="288" spans="1:5" x14ac:dyDescent="0.25">
      <c r="A288" t="s">
        <v>45</v>
      </c>
      <c r="B288" t="s">
        <v>291</v>
      </c>
      <c r="C288" t="s">
        <v>92</v>
      </c>
      <c r="D288">
        <v>2626</v>
      </c>
      <c r="E288" t="s">
        <v>1283</v>
      </c>
    </row>
    <row r="289" spans="1:5" x14ac:dyDescent="0.25">
      <c r="A289" t="s">
        <v>45</v>
      </c>
      <c r="B289" t="s">
        <v>291</v>
      </c>
      <c r="C289" t="s">
        <v>92</v>
      </c>
      <c r="D289">
        <v>3023</v>
      </c>
      <c r="E289" t="s">
        <v>1284</v>
      </c>
    </row>
    <row r="290" spans="1:5" x14ac:dyDescent="0.25">
      <c r="A290" t="s">
        <v>45</v>
      </c>
      <c r="B290" t="s">
        <v>291</v>
      </c>
      <c r="C290" t="s">
        <v>92</v>
      </c>
      <c r="D290">
        <v>3134</v>
      </c>
      <c r="E290" t="s">
        <v>1285</v>
      </c>
    </row>
    <row r="291" spans="1:5" x14ac:dyDescent="0.25">
      <c r="A291" t="s">
        <v>45</v>
      </c>
      <c r="B291" t="s">
        <v>291</v>
      </c>
      <c r="C291" t="s">
        <v>92</v>
      </c>
      <c r="D291">
        <v>3187</v>
      </c>
      <c r="E291" t="s">
        <v>1286</v>
      </c>
    </row>
    <row r="292" spans="1:5" x14ac:dyDescent="0.25">
      <c r="A292" t="s">
        <v>45</v>
      </c>
      <c r="B292" t="s">
        <v>291</v>
      </c>
      <c r="C292" t="s">
        <v>92</v>
      </c>
      <c r="D292">
        <v>3325</v>
      </c>
      <c r="E292" t="s">
        <v>1287</v>
      </c>
    </row>
    <row r="293" spans="1:5" x14ac:dyDescent="0.25">
      <c r="A293" t="s">
        <v>45</v>
      </c>
      <c r="B293" t="s">
        <v>291</v>
      </c>
      <c r="C293" t="s">
        <v>92</v>
      </c>
      <c r="D293">
        <v>3583</v>
      </c>
      <c r="E293" t="s">
        <v>1288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workbookViewId="0">
      <selection sqref="A1:E12"/>
    </sheetView>
  </sheetViews>
  <sheetFormatPr defaultRowHeight="15" x14ac:dyDescent="0.25"/>
  <sheetData>
    <row r="1" spans="1:5" x14ac:dyDescent="0.25">
      <c r="A1" t="s">
        <v>367</v>
      </c>
      <c r="B1">
        <v>2</v>
      </c>
      <c r="C1" t="s">
        <v>1289</v>
      </c>
      <c r="D1" t="s">
        <v>44</v>
      </c>
      <c r="E1" t="s">
        <v>1290</v>
      </c>
    </row>
    <row r="2" spans="1:5" x14ac:dyDescent="0.25">
      <c r="A2" t="s">
        <v>1291</v>
      </c>
      <c r="B2">
        <v>4</v>
      </c>
      <c r="C2" t="s">
        <v>757</v>
      </c>
      <c r="D2" t="s">
        <v>44</v>
      </c>
      <c r="E2" t="s">
        <v>1292</v>
      </c>
    </row>
    <row r="3" spans="1:5" x14ac:dyDescent="0.25">
      <c r="A3" t="s">
        <v>1293</v>
      </c>
      <c r="B3">
        <v>2</v>
      </c>
      <c r="C3" t="s">
        <v>1294</v>
      </c>
      <c r="D3" t="s">
        <v>1295</v>
      </c>
      <c r="E3" t="s">
        <v>1296</v>
      </c>
    </row>
    <row r="4" spans="1:5" x14ac:dyDescent="0.25">
      <c r="A4" t="s">
        <v>1297</v>
      </c>
      <c r="B4">
        <v>1</v>
      </c>
      <c r="C4" t="s">
        <v>758</v>
      </c>
      <c r="D4" t="s">
        <v>44</v>
      </c>
      <c r="E4" t="s">
        <v>1298</v>
      </c>
    </row>
    <row r="5" spans="1:5" x14ac:dyDescent="0.25">
      <c r="A5" t="s">
        <v>132</v>
      </c>
      <c r="B5">
        <v>1</v>
      </c>
      <c r="C5" t="s">
        <v>132</v>
      </c>
      <c r="D5" t="s">
        <v>44</v>
      </c>
      <c r="E5" t="s">
        <v>1299</v>
      </c>
    </row>
    <row r="6" spans="1:5" x14ac:dyDescent="0.25">
      <c r="A6" t="s">
        <v>132</v>
      </c>
      <c r="B6">
        <v>2</v>
      </c>
      <c r="C6" t="s">
        <v>131</v>
      </c>
      <c r="D6" t="s">
        <v>44</v>
      </c>
      <c r="E6" t="s">
        <v>1300</v>
      </c>
    </row>
    <row r="7" spans="1:5" x14ac:dyDescent="0.25">
      <c r="A7" t="s">
        <v>744</v>
      </c>
      <c r="B7">
        <v>2</v>
      </c>
      <c r="C7" t="s">
        <v>744</v>
      </c>
      <c r="D7" t="s">
        <v>44</v>
      </c>
      <c r="E7" t="s">
        <v>1301</v>
      </c>
    </row>
    <row r="8" spans="1:5" x14ac:dyDescent="0.25">
      <c r="A8" t="s">
        <v>1302</v>
      </c>
      <c r="B8">
        <v>3</v>
      </c>
      <c r="C8" t="s">
        <v>753</v>
      </c>
      <c r="D8" t="s">
        <v>44</v>
      </c>
      <c r="E8" t="s">
        <v>1303</v>
      </c>
    </row>
    <row r="9" spans="1:5" x14ac:dyDescent="0.25">
      <c r="A9" t="s">
        <v>1304</v>
      </c>
      <c r="B9">
        <v>1</v>
      </c>
      <c r="C9" t="s">
        <v>811</v>
      </c>
      <c r="D9" t="s">
        <v>44</v>
      </c>
      <c r="E9" t="s">
        <v>1305</v>
      </c>
    </row>
    <row r="10" spans="1:5" x14ac:dyDescent="0.25">
      <c r="A10" t="s">
        <v>157</v>
      </c>
      <c r="B10">
        <v>1</v>
      </c>
      <c r="C10" t="s">
        <v>156</v>
      </c>
      <c r="D10" t="s">
        <v>44</v>
      </c>
      <c r="E10" t="s">
        <v>1306</v>
      </c>
    </row>
    <row r="11" spans="1:5" x14ac:dyDescent="0.25">
      <c r="A11" t="s">
        <v>157</v>
      </c>
      <c r="B11">
        <v>2</v>
      </c>
      <c r="C11" t="s">
        <v>270</v>
      </c>
      <c r="D11" t="s">
        <v>44</v>
      </c>
      <c r="E11" t="s">
        <v>1307</v>
      </c>
    </row>
    <row r="12" spans="1:5" x14ac:dyDescent="0.25">
      <c r="A12" t="s">
        <v>157</v>
      </c>
      <c r="B12">
        <v>3</v>
      </c>
      <c r="C12" t="s">
        <v>419</v>
      </c>
      <c r="D12" t="s">
        <v>44</v>
      </c>
      <c r="E12" t="s">
        <v>1308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
  <sheetViews>
    <sheetView workbookViewId="0">
      <selection sqref="A1:G29"/>
    </sheetView>
  </sheetViews>
  <sheetFormatPr defaultRowHeight="15" x14ac:dyDescent="0.25"/>
  <sheetData>
    <row r="1" spans="1:7" x14ac:dyDescent="0.25">
      <c r="A1" t="s">
        <v>1309</v>
      </c>
      <c r="B1" t="s">
        <v>1310</v>
      </c>
      <c r="C1" t="s">
        <v>1311</v>
      </c>
      <c r="D1" t="s">
        <v>1312</v>
      </c>
      <c r="E1" t="s">
        <v>1313</v>
      </c>
      <c r="F1" t="s">
        <v>1314</v>
      </c>
      <c r="G1" t="s">
        <v>1315</v>
      </c>
    </row>
    <row r="2" spans="1:7" x14ac:dyDescent="0.25">
      <c r="A2" t="s">
        <v>1316</v>
      </c>
      <c r="B2" t="s">
        <v>1317</v>
      </c>
      <c r="C2" t="s">
        <v>1318</v>
      </c>
      <c r="D2" t="s">
        <v>1319</v>
      </c>
      <c r="E2" t="s">
        <v>1320</v>
      </c>
      <c r="F2">
        <v>1</v>
      </c>
      <c r="G2">
        <v>0</v>
      </c>
    </row>
    <row r="3" spans="1:7" x14ac:dyDescent="0.25">
      <c r="A3" t="s">
        <v>1321</v>
      </c>
      <c r="C3" t="s">
        <v>1322</v>
      </c>
      <c r="D3" t="s">
        <v>1323</v>
      </c>
      <c r="E3" t="s">
        <v>1320</v>
      </c>
      <c r="F3">
        <v>1</v>
      </c>
      <c r="G3">
        <v>1</v>
      </c>
    </row>
    <row r="4" spans="1:7" x14ac:dyDescent="0.25">
      <c r="A4" t="s">
        <v>1324</v>
      </c>
      <c r="B4" t="s">
        <v>1325</v>
      </c>
      <c r="C4" t="s">
        <v>1326</v>
      </c>
      <c r="D4" t="s">
        <v>1327</v>
      </c>
      <c r="E4" t="s">
        <v>1320</v>
      </c>
      <c r="F4">
        <v>1</v>
      </c>
      <c r="G4">
        <v>0</v>
      </c>
    </row>
    <row r="5" spans="1:7" x14ac:dyDescent="0.25">
      <c r="A5" t="s">
        <v>1328</v>
      </c>
      <c r="C5" t="s">
        <v>1322</v>
      </c>
      <c r="D5" t="s">
        <v>1329</v>
      </c>
      <c r="E5" t="s">
        <v>1320</v>
      </c>
      <c r="F5">
        <v>1</v>
      </c>
      <c r="G5">
        <v>0</v>
      </c>
    </row>
    <row r="6" spans="1:7" x14ac:dyDescent="0.25">
      <c r="A6" t="s">
        <v>1330</v>
      </c>
      <c r="C6" t="s">
        <v>1331</v>
      </c>
      <c r="D6" t="s">
        <v>1332</v>
      </c>
      <c r="E6" t="s">
        <v>1320</v>
      </c>
      <c r="F6">
        <v>1</v>
      </c>
      <c r="G6">
        <v>0</v>
      </c>
    </row>
    <row r="7" spans="1:7" x14ac:dyDescent="0.25">
      <c r="A7" t="s">
        <v>1333</v>
      </c>
      <c r="C7" t="s">
        <v>1331</v>
      </c>
      <c r="D7" t="s">
        <v>1334</v>
      </c>
      <c r="E7" t="s">
        <v>1320</v>
      </c>
      <c r="F7">
        <v>1</v>
      </c>
      <c r="G7">
        <v>0</v>
      </c>
    </row>
    <row r="8" spans="1:7" x14ac:dyDescent="0.25">
      <c r="A8" t="s">
        <v>1335</v>
      </c>
      <c r="B8" t="s">
        <v>1336</v>
      </c>
      <c r="C8" t="s">
        <v>1331</v>
      </c>
      <c r="D8" t="s">
        <v>1336</v>
      </c>
      <c r="E8" t="s">
        <v>1320</v>
      </c>
      <c r="F8">
        <v>1</v>
      </c>
      <c r="G8">
        <v>0</v>
      </c>
    </row>
    <row r="9" spans="1:7" x14ac:dyDescent="0.25">
      <c r="A9" t="s">
        <v>1337</v>
      </c>
      <c r="C9" t="s">
        <v>1338</v>
      </c>
      <c r="D9" t="s">
        <v>1339</v>
      </c>
      <c r="E9" t="s">
        <v>1320</v>
      </c>
      <c r="F9">
        <v>1</v>
      </c>
      <c r="G9">
        <v>1</v>
      </c>
    </row>
    <row r="10" spans="1:7" x14ac:dyDescent="0.25">
      <c r="A10" t="s">
        <v>1340</v>
      </c>
      <c r="B10" t="s">
        <v>1341</v>
      </c>
      <c r="C10" t="s">
        <v>1331</v>
      </c>
      <c r="D10" t="s">
        <v>1342</v>
      </c>
      <c r="E10" t="s">
        <v>1320</v>
      </c>
      <c r="F10">
        <v>1</v>
      </c>
      <c r="G10">
        <v>0</v>
      </c>
    </row>
    <row r="11" spans="1:7" x14ac:dyDescent="0.25">
      <c r="A11" t="s">
        <v>1343</v>
      </c>
      <c r="B11" t="s">
        <v>1341</v>
      </c>
      <c r="C11" t="s">
        <v>1331</v>
      </c>
      <c r="D11" t="s">
        <v>1344</v>
      </c>
      <c r="E11" t="s">
        <v>1320</v>
      </c>
      <c r="F11">
        <v>1</v>
      </c>
      <c r="G11">
        <v>0</v>
      </c>
    </row>
    <row r="12" spans="1:7" x14ac:dyDescent="0.25">
      <c r="A12" t="s">
        <v>1345</v>
      </c>
      <c r="B12" t="s">
        <v>1341</v>
      </c>
      <c r="C12" t="s">
        <v>1331</v>
      </c>
      <c r="D12" t="s">
        <v>1346</v>
      </c>
      <c r="E12" t="s">
        <v>1320</v>
      </c>
      <c r="F12">
        <v>1</v>
      </c>
      <c r="G12">
        <v>0</v>
      </c>
    </row>
    <row r="13" spans="1:7" x14ac:dyDescent="0.25">
      <c r="A13" t="s">
        <v>1347</v>
      </c>
      <c r="B13" t="s">
        <v>1341</v>
      </c>
      <c r="C13" t="s">
        <v>1331</v>
      </c>
      <c r="D13" t="s">
        <v>1348</v>
      </c>
      <c r="E13" t="s">
        <v>1320</v>
      </c>
      <c r="F13">
        <v>1</v>
      </c>
      <c r="G13">
        <v>0</v>
      </c>
    </row>
    <row r="14" spans="1:7" x14ac:dyDescent="0.25">
      <c r="A14" t="s">
        <v>1349</v>
      </c>
      <c r="C14" t="s">
        <v>1350</v>
      </c>
      <c r="D14" t="s">
        <v>1351</v>
      </c>
      <c r="E14" t="s">
        <v>1320</v>
      </c>
      <c r="F14">
        <v>1</v>
      </c>
      <c r="G14">
        <v>0</v>
      </c>
    </row>
    <row r="15" spans="1:7" x14ac:dyDescent="0.25">
      <c r="A15" t="s">
        <v>1352</v>
      </c>
      <c r="C15" t="s">
        <v>1331</v>
      </c>
      <c r="D15" t="s">
        <v>1353</v>
      </c>
      <c r="E15" t="s">
        <v>1320</v>
      </c>
      <c r="F15">
        <v>1</v>
      </c>
      <c r="G15">
        <v>0</v>
      </c>
    </row>
    <row r="16" spans="1:7" x14ac:dyDescent="0.25">
      <c r="A16" t="s">
        <v>1354</v>
      </c>
      <c r="B16" t="s">
        <v>1341</v>
      </c>
      <c r="C16" t="s">
        <v>1331</v>
      </c>
      <c r="D16" t="s">
        <v>1355</v>
      </c>
      <c r="E16" t="s">
        <v>1320</v>
      </c>
      <c r="F16">
        <v>1</v>
      </c>
      <c r="G16">
        <v>0</v>
      </c>
    </row>
    <row r="17" spans="1:7" x14ac:dyDescent="0.25">
      <c r="A17" t="s">
        <v>1356</v>
      </c>
      <c r="C17" t="s">
        <v>1350</v>
      </c>
      <c r="D17" t="s">
        <v>1357</v>
      </c>
      <c r="E17" t="s">
        <v>1320</v>
      </c>
      <c r="F17">
        <v>1</v>
      </c>
      <c r="G17">
        <v>0</v>
      </c>
    </row>
    <row r="18" spans="1:7" x14ac:dyDescent="0.25">
      <c r="A18" t="s">
        <v>1358</v>
      </c>
      <c r="C18" t="s">
        <v>1331</v>
      </c>
      <c r="D18" t="s">
        <v>1359</v>
      </c>
      <c r="E18" t="s">
        <v>1320</v>
      </c>
      <c r="F18">
        <v>1</v>
      </c>
      <c r="G18">
        <v>0</v>
      </c>
    </row>
    <row r="19" spans="1:7" x14ac:dyDescent="0.25">
      <c r="A19" t="s">
        <v>1360</v>
      </c>
      <c r="C19" t="s">
        <v>1350</v>
      </c>
      <c r="D19" t="s">
        <v>1361</v>
      </c>
      <c r="E19" t="s">
        <v>1320</v>
      </c>
      <c r="F19">
        <v>1</v>
      </c>
      <c r="G19">
        <v>0</v>
      </c>
    </row>
    <row r="20" spans="1:7" x14ac:dyDescent="0.25">
      <c r="A20" t="s">
        <v>1362</v>
      </c>
      <c r="C20" t="s">
        <v>1350</v>
      </c>
      <c r="D20" t="s">
        <v>1363</v>
      </c>
      <c r="E20" t="s">
        <v>1320</v>
      </c>
      <c r="F20">
        <v>1</v>
      </c>
      <c r="G20">
        <v>1</v>
      </c>
    </row>
    <row r="21" spans="1:7" x14ac:dyDescent="0.25">
      <c r="A21" t="s">
        <v>1364</v>
      </c>
      <c r="C21" t="s">
        <v>1350</v>
      </c>
      <c r="D21" t="s">
        <v>1364</v>
      </c>
      <c r="E21" t="s">
        <v>1320</v>
      </c>
      <c r="F21">
        <v>1</v>
      </c>
      <c r="G21">
        <v>0</v>
      </c>
    </row>
    <row r="22" spans="1:7" x14ac:dyDescent="0.25">
      <c r="A22" t="s">
        <v>1365</v>
      </c>
      <c r="C22" t="s">
        <v>1350</v>
      </c>
      <c r="D22" t="s">
        <v>1366</v>
      </c>
      <c r="E22" t="s">
        <v>1320</v>
      </c>
      <c r="F22">
        <v>1</v>
      </c>
      <c r="G22">
        <v>0</v>
      </c>
    </row>
    <row r="23" spans="1:7" x14ac:dyDescent="0.25">
      <c r="A23" t="s">
        <v>1367</v>
      </c>
      <c r="C23" t="s">
        <v>1350</v>
      </c>
      <c r="D23" t="s">
        <v>1368</v>
      </c>
      <c r="E23" t="s">
        <v>1320</v>
      </c>
      <c r="F23">
        <v>1</v>
      </c>
      <c r="G23">
        <v>0</v>
      </c>
    </row>
    <row r="24" spans="1:7" x14ac:dyDescent="0.25">
      <c r="A24" t="s">
        <v>1369</v>
      </c>
      <c r="C24" t="s">
        <v>1350</v>
      </c>
      <c r="D24" t="s">
        <v>1370</v>
      </c>
      <c r="E24" t="s">
        <v>1320</v>
      </c>
      <c r="F24">
        <v>1</v>
      </c>
      <c r="G24">
        <v>0</v>
      </c>
    </row>
    <row r="25" spans="1:7" x14ac:dyDescent="0.25">
      <c r="A25" t="s">
        <v>1371</v>
      </c>
      <c r="C25" t="s">
        <v>1350</v>
      </c>
      <c r="D25" t="s">
        <v>1372</v>
      </c>
      <c r="E25" t="s">
        <v>1320</v>
      </c>
      <c r="F25">
        <v>1</v>
      </c>
      <c r="G25">
        <v>0</v>
      </c>
    </row>
    <row r="26" spans="1:7" x14ac:dyDescent="0.25">
      <c r="A26" t="s">
        <v>1373</v>
      </c>
      <c r="C26" t="s">
        <v>1350</v>
      </c>
      <c r="D26" t="s">
        <v>1361</v>
      </c>
      <c r="E26" t="s">
        <v>1320</v>
      </c>
      <c r="F26">
        <v>1</v>
      </c>
      <c r="G26">
        <v>0</v>
      </c>
    </row>
    <row r="27" spans="1:7" x14ac:dyDescent="0.25">
      <c r="A27" t="s">
        <v>1374</v>
      </c>
      <c r="C27" t="s">
        <v>1350</v>
      </c>
      <c r="D27" t="s">
        <v>1375</v>
      </c>
      <c r="E27" t="s">
        <v>1320</v>
      </c>
      <c r="F27">
        <v>1</v>
      </c>
      <c r="G27">
        <v>0</v>
      </c>
    </row>
    <row r="28" spans="1:7" x14ac:dyDescent="0.25">
      <c r="A28" t="s">
        <v>1376</v>
      </c>
      <c r="C28" t="s">
        <v>1350</v>
      </c>
      <c r="D28" t="s">
        <v>1377</v>
      </c>
      <c r="E28" t="s">
        <v>1320</v>
      </c>
      <c r="F28">
        <v>1</v>
      </c>
      <c r="G28">
        <v>0</v>
      </c>
    </row>
    <row r="29" spans="1:7" x14ac:dyDescent="0.25">
      <c r="A29" t="s">
        <v>1378</v>
      </c>
      <c r="C29" t="s">
        <v>1350</v>
      </c>
      <c r="D29" t="s">
        <v>1379</v>
      </c>
      <c r="E29" t="s">
        <v>1320</v>
      </c>
      <c r="F29">
        <v>1</v>
      </c>
      <c r="G2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1"/>
  <sheetViews>
    <sheetView workbookViewId="0">
      <selection sqref="A1:E151"/>
    </sheetView>
  </sheetViews>
  <sheetFormatPr defaultRowHeight="15" x14ac:dyDescent="0.25"/>
  <sheetData>
    <row r="1" spans="1:5" x14ac:dyDescent="0.25">
      <c r="A1" t="s">
        <v>627</v>
      </c>
      <c r="B1" t="s">
        <v>1380</v>
      </c>
      <c r="C1" t="s">
        <v>1381</v>
      </c>
      <c r="D1" t="s">
        <v>1382</v>
      </c>
      <c r="E1" t="s">
        <v>1383</v>
      </c>
    </row>
    <row r="2" spans="1:5" x14ac:dyDescent="0.25">
      <c r="A2" t="s">
        <v>45</v>
      </c>
      <c r="B2" t="s">
        <v>1384</v>
      </c>
      <c r="C2" t="s">
        <v>1385</v>
      </c>
      <c r="D2" t="s">
        <v>1386</v>
      </c>
      <c r="E2">
        <v>50</v>
      </c>
    </row>
    <row r="3" spans="1:5" x14ac:dyDescent="0.25">
      <c r="A3" t="s">
        <v>45</v>
      </c>
      <c r="B3" t="s">
        <v>1387</v>
      </c>
      <c r="C3" t="s">
        <v>1388</v>
      </c>
      <c r="D3" t="s">
        <v>1386</v>
      </c>
      <c r="E3">
        <v>150</v>
      </c>
    </row>
    <row r="4" spans="1:5" x14ac:dyDescent="0.25">
      <c r="A4" t="s">
        <v>45</v>
      </c>
      <c r="B4" t="s">
        <v>1387</v>
      </c>
      <c r="C4" t="s">
        <v>1389</v>
      </c>
      <c r="D4" t="s">
        <v>1386</v>
      </c>
      <c r="E4">
        <v>150</v>
      </c>
    </row>
    <row r="5" spans="1:5" x14ac:dyDescent="0.25">
      <c r="A5" t="s">
        <v>45</v>
      </c>
      <c r="B5" t="s">
        <v>1390</v>
      </c>
      <c r="C5" t="s">
        <v>1388</v>
      </c>
      <c r="D5" t="s">
        <v>1386</v>
      </c>
      <c r="E5">
        <v>50</v>
      </c>
    </row>
    <row r="6" spans="1:5" x14ac:dyDescent="0.25">
      <c r="A6" t="s">
        <v>45</v>
      </c>
      <c r="B6" t="s">
        <v>1390</v>
      </c>
      <c r="C6" t="s">
        <v>1389</v>
      </c>
      <c r="D6" t="s">
        <v>1386</v>
      </c>
      <c r="E6">
        <v>50</v>
      </c>
    </row>
    <row r="7" spans="1:5" x14ac:dyDescent="0.25">
      <c r="A7" t="s">
        <v>45</v>
      </c>
      <c r="B7" t="s">
        <v>1391</v>
      </c>
      <c r="C7" t="s">
        <v>1392</v>
      </c>
      <c r="D7" t="s">
        <v>1386</v>
      </c>
      <c r="E7">
        <v>150</v>
      </c>
    </row>
    <row r="8" spans="1:5" x14ac:dyDescent="0.25">
      <c r="A8" t="s">
        <v>45</v>
      </c>
      <c r="B8" t="s">
        <v>1393</v>
      </c>
      <c r="C8" t="s">
        <v>1392</v>
      </c>
      <c r="D8" t="s">
        <v>1386</v>
      </c>
      <c r="E8">
        <v>150</v>
      </c>
    </row>
    <row r="9" spans="1:5" x14ac:dyDescent="0.25">
      <c r="A9" t="s">
        <v>45</v>
      </c>
      <c r="B9" t="s">
        <v>1394</v>
      </c>
      <c r="C9" t="s">
        <v>1392</v>
      </c>
      <c r="D9" t="s">
        <v>1386</v>
      </c>
      <c r="E9">
        <v>50</v>
      </c>
    </row>
    <row r="10" spans="1:5" x14ac:dyDescent="0.25">
      <c r="A10" t="s">
        <v>45</v>
      </c>
      <c r="B10" t="s">
        <v>1395</v>
      </c>
      <c r="C10" t="s">
        <v>1392</v>
      </c>
      <c r="D10" t="s">
        <v>1386</v>
      </c>
      <c r="E10">
        <v>150</v>
      </c>
    </row>
    <row r="11" spans="1:5" x14ac:dyDescent="0.25">
      <c r="A11" t="s">
        <v>45</v>
      </c>
      <c r="B11" t="s">
        <v>1396</v>
      </c>
      <c r="C11" t="s">
        <v>1392</v>
      </c>
      <c r="D11" t="s">
        <v>1386</v>
      </c>
      <c r="E11">
        <v>150</v>
      </c>
    </row>
    <row r="12" spans="1:5" x14ac:dyDescent="0.25">
      <c r="A12" t="s">
        <v>45</v>
      </c>
      <c r="B12" t="s">
        <v>1397</v>
      </c>
      <c r="C12" t="s">
        <v>1392</v>
      </c>
      <c r="D12" t="s">
        <v>1386</v>
      </c>
      <c r="E12">
        <v>500</v>
      </c>
    </row>
    <row r="13" spans="1:5" x14ac:dyDescent="0.25">
      <c r="A13" t="s">
        <v>45</v>
      </c>
      <c r="B13" t="s">
        <v>1398</v>
      </c>
      <c r="C13" t="s">
        <v>1392</v>
      </c>
      <c r="D13" t="s">
        <v>1386</v>
      </c>
      <c r="E13">
        <v>50</v>
      </c>
    </row>
    <row r="14" spans="1:5" x14ac:dyDescent="0.25">
      <c r="A14" t="s">
        <v>45</v>
      </c>
      <c r="B14" t="s">
        <v>1399</v>
      </c>
      <c r="C14" t="s">
        <v>1392</v>
      </c>
      <c r="D14" t="s">
        <v>1386</v>
      </c>
      <c r="E14">
        <v>150</v>
      </c>
    </row>
    <row r="15" spans="1:5" x14ac:dyDescent="0.25">
      <c r="A15" t="s">
        <v>45</v>
      </c>
      <c r="B15" t="s">
        <v>1400</v>
      </c>
      <c r="C15" t="s">
        <v>1392</v>
      </c>
      <c r="D15" t="s">
        <v>1386</v>
      </c>
      <c r="E15">
        <v>250</v>
      </c>
    </row>
    <row r="16" spans="1:5" x14ac:dyDescent="0.25">
      <c r="A16" t="s">
        <v>45</v>
      </c>
      <c r="B16" t="s">
        <v>1401</v>
      </c>
      <c r="C16" t="s">
        <v>1402</v>
      </c>
      <c r="D16" t="s">
        <v>1386</v>
      </c>
      <c r="E16">
        <v>50</v>
      </c>
    </row>
    <row r="17" spans="1:5" x14ac:dyDescent="0.25">
      <c r="A17" t="s">
        <v>45</v>
      </c>
      <c r="B17" t="s">
        <v>1403</v>
      </c>
      <c r="C17" t="s">
        <v>1392</v>
      </c>
      <c r="D17" t="s">
        <v>1386</v>
      </c>
      <c r="E17">
        <v>250</v>
      </c>
    </row>
    <row r="18" spans="1:5" x14ac:dyDescent="0.25">
      <c r="A18" t="s">
        <v>45</v>
      </c>
      <c r="B18" t="s">
        <v>1404</v>
      </c>
      <c r="C18" t="s">
        <v>1405</v>
      </c>
      <c r="D18" t="s">
        <v>1386</v>
      </c>
      <c r="E18">
        <v>10</v>
      </c>
    </row>
    <row r="19" spans="1:5" x14ac:dyDescent="0.25">
      <c r="A19" t="s">
        <v>45</v>
      </c>
      <c r="B19" t="s">
        <v>1404</v>
      </c>
      <c r="C19" t="s">
        <v>1406</v>
      </c>
      <c r="D19" t="s">
        <v>1386</v>
      </c>
      <c r="E19">
        <v>10</v>
      </c>
    </row>
    <row r="20" spans="1:5" x14ac:dyDescent="0.25">
      <c r="A20" t="s">
        <v>45</v>
      </c>
      <c r="B20" t="s">
        <v>1407</v>
      </c>
      <c r="C20" t="s">
        <v>1405</v>
      </c>
      <c r="D20" t="s">
        <v>1386</v>
      </c>
      <c r="E20">
        <v>10</v>
      </c>
    </row>
    <row r="21" spans="1:5" x14ac:dyDescent="0.25">
      <c r="A21" t="s">
        <v>45</v>
      </c>
      <c r="B21" t="s">
        <v>1407</v>
      </c>
      <c r="C21" t="s">
        <v>1406</v>
      </c>
      <c r="D21" t="s">
        <v>1386</v>
      </c>
      <c r="E21">
        <v>10</v>
      </c>
    </row>
    <row r="22" spans="1:5" x14ac:dyDescent="0.25">
      <c r="A22" t="s">
        <v>45</v>
      </c>
      <c r="B22" t="s">
        <v>1408</v>
      </c>
      <c r="C22" t="s">
        <v>1405</v>
      </c>
      <c r="D22" t="s">
        <v>1386</v>
      </c>
      <c r="E22">
        <v>10</v>
      </c>
    </row>
    <row r="23" spans="1:5" x14ac:dyDescent="0.25">
      <c r="A23" t="s">
        <v>45</v>
      </c>
      <c r="B23" t="s">
        <v>1408</v>
      </c>
      <c r="C23" t="s">
        <v>1406</v>
      </c>
      <c r="D23" t="s">
        <v>1386</v>
      </c>
      <c r="E23">
        <v>50</v>
      </c>
    </row>
    <row r="24" spans="1:5" x14ac:dyDescent="0.25">
      <c r="A24" t="s">
        <v>45</v>
      </c>
      <c r="B24" t="s">
        <v>1409</v>
      </c>
      <c r="C24" t="s">
        <v>1410</v>
      </c>
      <c r="D24" t="s">
        <v>1386</v>
      </c>
      <c r="E24">
        <v>10</v>
      </c>
    </row>
    <row r="25" spans="1:5" x14ac:dyDescent="0.25">
      <c r="A25" t="s">
        <v>45</v>
      </c>
      <c r="B25" t="s">
        <v>1409</v>
      </c>
      <c r="C25" t="s">
        <v>1411</v>
      </c>
      <c r="D25" t="s">
        <v>1386</v>
      </c>
      <c r="E25">
        <v>10</v>
      </c>
    </row>
    <row r="26" spans="1:5" x14ac:dyDescent="0.25">
      <c r="A26" t="s">
        <v>45</v>
      </c>
      <c r="B26" t="s">
        <v>1409</v>
      </c>
      <c r="C26" t="s">
        <v>1412</v>
      </c>
      <c r="D26" t="s">
        <v>1386</v>
      </c>
      <c r="E26">
        <v>10</v>
      </c>
    </row>
    <row r="27" spans="1:5" x14ac:dyDescent="0.25">
      <c r="A27" t="s">
        <v>45</v>
      </c>
      <c r="B27" t="s">
        <v>1409</v>
      </c>
      <c r="C27" t="s">
        <v>1413</v>
      </c>
      <c r="D27" t="s">
        <v>1386</v>
      </c>
      <c r="E27">
        <v>10</v>
      </c>
    </row>
    <row r="28" spans="1:5" x14ac:dyDescent="0.25">
      <c r="A28" t="s">
        <v>45</v>
      </c>
      <c r="B28" t="s">
        <v>1409</v>
      </c>
      <c r="C28" t="s">
        <v>1414</v>
      </c>
      <c r="D28" t="s">
        <v>1386</v>
      </c>
      <c r="E28">
        <v>10</v>
      </c>
    </row>
    <row r="29" spans="1:5" x14ac:dyDescent="0.25">
      <c r="A29" t="s">
        <v>45</v>
      </c>
      <c r="B29" t="s">
        <v>1415</v>
      </c>
      <c r="C29" t="s">
        <v>1416</v>
      </c>
      <c r="D29" t="s">
        <v>1386</v>
      </c>
      <c r="E29">
        <v>250</v>
      </c>
    </row>
    <row r="30" spans="1:5" x14ac:dyDescent="0.25">
      <c r="A30" t="s">
        <v>45</v>
      </c>
      <c r="B30" t="s">
        <v>1417</v>
      </c>
      <c r="C30" t="s">
        <v>1392</v>
      </c>
      <c r="D30" t="s">
        <v>1386</v>
      </c>
      <c r="E30">
        <v>150</v>
      </c>
    </row>
    <row r="31" spans="1:5" x14ac:dyDescent="0.25">
      <c r="A31" t="s">
        <v>45</v>
      </c>
      <c r="B31" t="s">
        <v>1417</v>
      </c>
      <c r="C31" t="s">
        <v>1418</v>
      </c>
      <c r="D31" t="s">
        <v>1386</v>
      </c>
      <c r="E31">
        <v>50</v>
      </c>
    </row>
    <row r="32" spans="1:5" x14ac:dyDescent="0.25">
      <c r="A32" t="s">
        <v>45</v>
      </c>
      <c r="B32" t="s">
        <v>1419</v>
      </c>
      <c r="C32" t="s">
        <v>1420</v>
      </c>
      <c r="D32" t="s">
        <v>1386</v>
      </c>
      <c r="E32">
        <v>10</v>
      </c>
    </row>
    <row r="33" spans="1:5" x14ac:dyDescent="0.25">
      <c r="A33" t="s">
        <v>45</v>
      </c>
      <c r="B33" t="s">
        <v>1421</v>
      </c>
      <c r="C33" t="s">
        <v>1422</v>
      </c>
      <c r="D33" t="s">
        <v>1386</v>
      </c>
      <c r="E33">
        <v>8000</v>
      </c>
    </row>
    <row r="34" spans="1:5" x14ac:dyDescent="0.25">
      <c r="A34" t="s">
        <v>45</v>
      </c>
      <c r="B34" t="s">
        <v>1421</v>
      </c>
      <c r="C34" t="s">
        <v>1423</v>
      </c>
      <c r="D34" t="s">
        <v>1386</v>
      </c>
      <c r="E34">
        <v>8000</v>
      </c>
    </row>
    <row r="35" spans="1:5" x14ac:dyDescent="0.25">
      <c r="A35" t="s">
        <v>45</v>
      </c>
      <c r="B35" t="s">
        <v>1424</v>
      </c>
      <c r="C35" t="s">
        <v>1392</v>
      </c>
      <c r="D35" t="s">
        <v>1386</v>
      </c>
      <c r="E35">
        <v>150</v>
      </c>
    </row>
    <row r="36" spans="1:5" x14ac:dyDescent="0.25">
      <c r="A36" t="s">
        <v>45</v>
      </c>
      <c r="B36" t="s">
        <v>1424</v>
      </c>
      <c r="C36" t="s">
        <v>1425</v>
      </c>
      <c r="D36" t="s">
        <v>1386</v>
      </c>
      <c r="E36">
        <v>50</v>
      </c>
    </row>
    <row r="37" spans="1:5" x14ac:dyDescent="0.25">
      <c r="A37" t="s">
        <v>45</v>
      </c>
      <c r="B37" t="s">
        <v>1426</v>
      </c>
      <c r="C37" t="s">
        <v>1392</v>
      </c>
      <c r="D37" t="s">
        <v>1386</v>
      </c>
      <c r="E37">
        <v>50</v>
      </c>
    </row>
    <row r="38" spans="1:5" x14ac:dyDescent="0.25">
      <c r="A38" t="s">
        <v>45</v>
      </c>
      <c r="B38" t="s">
        <v>1426</v>
      </c>
      <c r="C38" t="s">
        <v>1425</v>
      </c>
      <c r="D38" t="s">
        <v>1386</v>
      </c>
      <c r="E38">
        <v>50</v>
      </c>
    </row>
    <row r="39" spans="1:5" x14ac:dyDescent="0.25">
      <c r="A39" t="s">
        <v>45</v>
      </c>
      <c r="B39" t="s">
        <v>1427</v>
      </c>
      <c r="C39" t="s">
        <v>1420</v>
      </c>
      <c r="D39" t="s">
        <v>1386</v>
      </c>
      <c r="E39">
        <v>10</v>
      </c>
    </row>
    <row r="40" spans="1:5" x14ac:dyDescent="0.25">
      <c r="A40" t="s">
        <v>45</v>
      </c>
      <c r="B40" t="s">
        <v>1428</v>
      </c>
      <c r="C40" t="s">
        <v>1422</v>
      </c>
      <c r="D40" t="s">
        <v>1386</v>
      </c>
      <c r="E40">
        <v>8000</v>
      </c>
    </row>
    <row r="41" spans="1:5" x14ac:dyDescent="0.25">
      <c r="A41" t="s">
        <v>45</v>
      </c>
      <c r="B41" t="s">
        <v>1428</v>
      </c>
      <c r="C41" t="s">
        <v>1423</v>
      </c>
      <c r="D41" t="s">
        <v>1386</v>
      </c>
      <c r="E41">
        <v>8000</v>
      </c>
    </row>
    <row r="42" spans="1:5" x14ac:dyDescent="0.25">
      <c r="A42" t="s">
        <v>45</v>
      </c>
      <c r="B42" t="s">
        <v>1429</v>
      </c>
      <c r="C42" t="s">
        <v>1392</v>
      </c>
      <c r="D42" t="s">
        <v>1386</v>
      </c>
      <c r="E42">
        <v>150</v>
      </c>
    </row>
    <row r="43" spans="1:5" x14ac:dyDescent="0.25">
      <c r="A43" t="s">
        <v>45</v>
      </c>
      <c r="B43" t="s">
        <v>1429</v>
      </c>
      <c r="C43" t="s">
        <v>1425</v>
      </c>
      <c r="D43" t="s">
        <v>1386</v>
      </c>
      <c r="E43">
        <v>50</v>
      </c>
    </row>
    <row r="44" spans="1:5" x14ac:dyDescent="0.25">
      <c r="A44" t="s">
        <v>45</v>
      </c>
      <c r="B44" t="s">
        <v>1430</v>
      </c>
      <c r="C44" t="s">
        <v>1392</v>
      </c>
      <c r="D44" t="s">
        <v>1386</v>
      </c>
      <c r="E44">
        <v>500</v>
      </c>
    </row>
    <row r="45" spans="1:5" x14ac:dyDescent="0.25">
      <c r="A45" t="s">
        <v>45</v>
      </c>
      <c r="B45" t="s">
        <v>1431</v>
      </c>
      <c r="C45" t="s">
        <v>1392</v>
      </c>
      <c r="D45" t="s">
        <v>1386</v>
      </c>
      <c r="E45">
        <v>500</v>
      </c>
    </row>
    <row r="46" spans="1:5" x14ac:dyDescent="0.25">
      <c r="A46" t="s">
        <v>45</v>
      </c>
      <c r="B46" t="s">
        <v>1431</v>
      </c>
      <c r="C46" t="s">
        <v>1425</v>
      </c>
      <c r="D46" t="s">
        <v>1386</v>
      </c>
      <c r="E46">
        <v>500</v>
      </c>
    </row>
    <row r="47" spans="1:5" x14ac:dyDescent="0.25">
      <c r="A47" t="s">
        <v>45</v>
      </c>
      <c r="B47" t="s">
        <v>1432</v>
      </c>
      <c r="C47" t="s">
        <v>1392</v>
      </c>
      <c r="D47" t="s">
        <v>1386</v>
      </c>
      <c r="E47">
        <v>50</v>
      </c>
    </row>
    <row r="48" spans="1:5" x14ac:dyDescent="0.25">
      <c r="A48" t="s">
        <v>45</v>
      </c>
      <c r="B48" t="s">
        <v>1432</v>
      </c>
      <c r="C48" t="s">
        <v>1425</v>
      </c>
      <c r="D48" t="s">
        <v>1386</v>
      </c>
      <c r="E48">
        <v>50</v>
      </c>
    </row>
    <row r="49" spans="1:5" x14ac:dyDescent="0.25">
      <c r="A49" t="s">
        <v>45</v>
      </c>
      <c r="B49" t="s">
        <v>1433</v>
      </c>
      <c r="C49" t="s">
        <v>1434</v>
      </c>
      <c r="D49" t="s">
        <v>1386</v>
      </c>
      <c r="E49">
        <v>500</v>
      </c>
    </row>
    <row r="50" spans="1:5" x14ac:dyDescent="0.25">
      <c r="A50" t="s">
        <v>45</v>
      </c>
      <c r="B50" t="s">
        <v>1433</v>
      </c>
      <c r="C50" t="s">
        <v>1435</v>
      </c>
      <c r="D50" t="s">
        <v>1386</v>
      </c>
      <c r="E50">
        <v>100</v>
      </c>
    </row>
    <row r="51" spans="1:5" x14ac:dyDescent="0.25">
      <c r="A51" t="s">
        <v>45</v>
      </c>
      <c r="B51" t="s">
        <v>1433</v>
      </c>
      <c r="C51" t="s">
        <v>1436</v>
      </c>
      <c r="D51" t="s">
        <v>1386</v>
      </c>
      <c r="E51">
        <v>500</v>
      </c>
    </row>
    <row r="52" spans="1:5" x14ac:dyDescent="0.25">
      <c r="A52" t="s">
        <v>45</v>
      </c>
      <c r="B52" t="s">
        <v>1437</v>
      </c>
      <c r="C52" t="s">
        <v>1392</v>
      </c>
      <c r="D52" t="s">
        <v>1386</v>
      </c>
      <c r="E52">
        <v>150</v>
      </c>
    </row>
    <row r="53" spans="1:5" x14ac:dyDescent="0.25">
      <c r="A53" t="s">
        <v>45</v>
      </c>
      <c r="B53" t="s">
        <v>1437</v>
      </c>
      <c r="C53" t="s">
        <v>1438</v>
      </c>
      <c r="D53" t="s">
        <v>1386</v>
      </c>
      <c r="E53">
        <v>50</v>
      </c>
    </row>
    <row r="54" spans="1:5" x14ac:dyDescent="0.25">
      <c r="A54" t="s">
        <v>45</v>
      </c>
      <c r="B54" t="s">
        <v>1439</v>
      </c>
      <c r="C54" t="s">
        <v>1392</v>
      </c>
      <c r="D54" t="s">
        <v>1386</v>
      </c>
      <c r="E54">
        <v>50</v>
      </c>
    </row>
    <row r="55" spans="1:5" x14ac:dyDescent="0.25">
      <c r="A55" t="s">
        <v>45</v>
      </c>
      <c r="B55" t="s">
        <v>1439</v>
      </c>
      <c r="C55" t="s">
        <v>1438</v>
      </c>
      <c r="D55" t="s">
        <v>1386</v>
      </c>
      <c r="E55">
        <v>50</v>
      </c>
    </row>
    <row r="56" spans="1:5" x14ac:dyDescent="0.25">
      <c r="A56" t="s">
        <v>45</v>
      </c>
      <c r="B56" t="s">
        <v>1440</v>
      </c>
      <c r="C56" t="s">
        <v>1392</v>
      </c>
      <c r="D56" t="s">
        <v>1386</v>
      </c>
      <c r="E56">
        <v>150</v>
      </c>
    </row>
    <row r="57" spans="1:5" x14ac:dyDescent="0.25">
      <c r="A57" t="s">
        <v>45</v>
      </c>
      <c r="B57" t="s">
        <v>1440</v>
      </c>
      <c r="C57" t="s">
        <v>1425</v>
      </c>
      <c r="D57" t="s">
        <v>1386</v>
      </c>
      <c r="E57">
        <v>50</v>
      </c>
    </row>
    <row r="58" spans="1:5" x14ac:dyDescent="0.25">
      <c r="A58" t="s">
        <v>45</v>
      </c>
      <c r="B58" t="s">
        <v>1441</v>
      </c>
      <c r="C58" t="s">
        <v>1392</v>
      </c>
      <c r="D58" t="s">
        <v>1386</v>
      </c>
      <c r="E58">
        <v>50</v>
      </c>
    </row>
    <row r="59" spans="1:5" x14ac:dyDescent="0.25">
      <c r="A59" t="s">
        <v>45</v>
      </c>
      <c r="B59" t="s">
        <v>1441</v>
      </c>
      <c r="C59" t="s">
        <v>1425</v>
      </c>
      <c r="D59" t="s">
        <v>1386</v>
      </c>
      <c r="E59">
        <v>50</v>
      </c>
    </row>
    <row r="60" spans="1:5" x14ac:dyDescent="0.25">
      <c r="A60" t="s">
        <v>45</v>
      </c>
      <c r="B60" t="s">
        <v>1442</v>
      </c>
      <c r="C60" t="s">
        <v>1420</v>
      </c>
      <c r="D60" t="s">
        <v>1386</v>
      </c>
      <c r="E60">
        <v>20</v>
      </c>
    </row>
    <row r="61" spans="1:5" x14ac:dyDescent="0.25">
      <c r="A61" t="s">
        <v>45</v>
      </c>
      <c r="B61" t="s">
        <v>1443</v>
      </c>
      <c r="C61" t="s">
        <v>1422</v>
      </c>
      <c r="D61" t="s">
        <v>1386</v>
      </c>
      <c r="E61">
        <v>8000</v>
      </c>
    </row>
    <row r="62" spans="1:5" x14ac:dyDescent="0.25">
      <c r="A62" t="s">
        <v>45</v>
      </c>
      <c r="B62" t="s">
        <v>1443</v>
      </c>
      <c r="C62" t="s">
        <v>1423</v>
      </c>
      <c r="D62" t="s">
        <v>1386</v>
      </c>
      <c r="E62">
        <v>8000</v>
      </c>
    </row>
    <row r="63" spans="1:5" x14ac:dyDescent="0.25">
      <c r="A63" t="s">
        <v>45</v>
      </c>
      <c r="B63" t="s">
        <v>1444</v>
      </c>
      <c r="C63" t="s">
        <v>1392</v>
      </c>
      <c r="D63" t="s">
        <v>1386</v>
      </c>
      <c r="E63">
        <v>150</v>
      </c>
    </row>
    <row r="64" spans="1:5" x14ac:dyDescent="0.25">
      <c r="A64" t="s">
        <v>45</v>
      </c>
      <c r="B64" t="s">
        <v>1444</v>
      </c>
      <c r="C64" t="s">
        <v>1425</v>
      </c>
      <c r="D64" t="s">
        <v>1386</v>
      </c>
      <c r="E64">
        <v>50</v>
      </c>
    </row>
    <row r="65" spans="1:5" x14ac:dyDescent="0.25">
      <c r="A65" t="s">
        <v>45</v>
      </c>
      <c r="B65" t="s">
        <v>1445</v>
      </c>
      <c r="C65" t="s">
        <v>1392</v>
      </c>
      <c r="D65" t="s">
        <v>1386</v>
      </c>
      <c r="E65">
        <v>50</v>
      </c>
    </row>
    <row r="66" spans="1:5" x14ac:dyDescent="0.25">
      <c r="A66" t="s">
        <v>45</v>
      </c>
      <c r="B66" t="s">
        <v>1445</v>
      </c>
      <c r="C66" t="s">
        <v>1425</v>
      </c>
      <c r="D66" t="s">
        <v>1386</v>
      </c>
      <c r="E66">
        <v>50</v>
      </c>
    </row>
    <row r="67" spans="1:5" x14ac:dyDescent="0.25">
      <c r="A67" t="s">
        <v>45</v>
      </c>
      <c r="B67" t="s">
        <v>1446</v>
      </c>
      <c r="C67" t="s">
        <v>1405</v>
      </c>
      <c r="D67" t="s">
        <v>1386</v>
      </c>
      <c r="E67">
        <v>10</v>
      </c>
    </row>
    <row r="68" spans="1:5" x14ac:dyDescent="0.25">
      <c r="A68" t="s">
        <v>45</v>
      </c>
      <c r="B68" t="s">
        <v>1446</v>
      </c>
      <c r="C68" t="s">
        <v>1406</v>
      </c>
      <c r="D68" t="s">
        <v>1386</v>
      </c>
      <c r="E68">
        <v>10</v>
      </c>
    </row>
    <row r="69" spans="1:5" x14ac:dyDescent="0.25">
      <c r="A69" t="s">
        <v>45</v>
      </c>
      <c r="B69" t="s">
        <v>1447</v>
      </c>
      <c r="C69" t="s">
        <v>1405</v>
      </c>
      <c r="D69" t="s">
        <v>1386</v>
      </c>
      <c r="E69">
        <v>10</v>
      </c>
    </row>
    <row r="70" spans="1:5" x14ac:dyDescent="0.25">
      <c r="A70" t="s">
        <v>45</v>
      </c>
      <c r="B70" t="s">
        <v>1447</v>
      </c>
      <c r="C70" t="s">
        <v>1406</v>
      </c>
      <c r="D70" t="s">
        <v>1386</v>
      </c>
      <c r="E70">
        <v>10</v>
      </c>
    </row>
    <row r="71" spans="1:5" x14ac:dyDescent="0.25">
      <c r="A71" t="s">
        <v>45</v>
      </c>
      <c r="B71" t="s">
        <v>1448</v>
      </c>
      <c r="C71" t="s">
        <v>1405</v>
      </c>
      <c r="D71" t="s">
        <v>1386</v>
      </c>
      <c r="E71">
        <v>10</v>
      </c>
    </row>
    <row r="72" spans="1:5" x14ac:dyDescent="0.25">
      <c r="A72" t="s">
        <v>45</v>
      </c>
      <c r="B72" t="s">
        <v>1448</v>
      </c>
      <c r="C72" t="s">
        <v>1406</v>
      </c>
      <c r="D72" t="s">
        <v>1386</v>
      </c>
      <c r="E72">
        <v>10</v>
      </c>
    </row>
    <row r="73" spans="1:5" x14ac:dyDescent="0.25">
      <c r="A73" t="s">
        <v>45</v>
      </c>
      <c r="B73" t="s">
        <v>1449</v>
      </c>
      <c r="C73" t="s">
        <v>1405</v>
      </c>
      <c r="D73" t="s">
        <v>1386</v>
      </c>
      <c r="E73">
        <v>10</v>
      </c>
    </row>
    <row r="74" spans="1:5" x14ac:dyDescent="0.25">
      <c r="A74" t="s">
        <v>45</v>
      </c>
      <c r="B74" t="s">
        <v>1449</v>
      </c>
      <c r="C74" t="s">
        <v>1406</v>
      </c>
      <c r="D74" t="s">
        <v>1386</v>
      </c>
      <c r="E74">
        <v>10</v>
      </c>
    </row>
    <row r="75" spans="1:5" x14ac:dyDescent="0.25">
      <c r="A75" t="s">
        <v>45</v>
      </c>
      <c r="B75" t="s">
        <v>1450</v>
      </c>
      <c r="C75" t="s">
        <v>1392</v>
      </c>
      <c r="D75" t="s">
        <v>1386</v>
      </c>
      <c r="E75">
        <v>150</v>
      </c>
    </row>
    <row r="76" spans="1:5" x14ac:dyDescent="0.25">
      <c r="A76" t="s">
        <v>45</v>
      </c>
      <c r="B76" t="s">
        <v>1450</v>
      </c>
      <c r="C76" t="s">
        <v>1418</v>
      </c>
      <c r="D76" t="s">
        <v>1386</v>
      </c>
      <c r="E76">
        <v>50</v>
      </c>
    </row>
    <row r="77" spans="1:5" x14ac:dyDescent="0.25">
      <c r="A77" t="s">
        <v>45</v>
      </c>
      <c r="B77" t="s">
        <v>1451</v>
      </c>
      <c r="C77" t="s">
        <v>1392</v>
      </c>
      <c r="D77" t="s">
        <v>1386</v>
      </c>
      <c r="E77">
        <v>50</v>
      </c>
    </row>
    <row r="78" spans="1:5" x14ac:dyDescent="0.25">
      <c r="A78" t="s">
        <v>45</v>
      </c>
      <c r="B78" t="s">
        <v>1451</v>
      </c>
      <c r="C78" t="s">
        <v>1418</v>
      </c>
      <c r="D78" t="s">
        <v>1386</v>
      </c>
      <c r="E78">
        <v>50</v>
      </c>
    </row>
    <row r="79" spans="1:5" x14ac:dyDescent="0.25">
      <c r="A79" t="s">
        <v>45</v>
      </c>
      <c r="B79" t="s">
        <v>1452</v>
      </c>
      <c r="C79" t="s">
        <v>1392</v>
      </c>
      <c r="D79" t="s">
        <v>1386</v>
      </c>
      <c r="E79">
        <v>250</v>
      </c>
    </row>
    <row r="80" spans="1:5" x14ac:dyDescent="0.25">
      <c r="A80" t="s">
        <v>45</v>
      </c>
      <c r="B80" t="s">
        <v>1452</v>
      </c>
      <c r="C80" t="s">
        <v>1418</v>
      </c>
      <c r="D80" t="s">
        <v>1386</v>
      </c>
      <c r="E80">
        <v>50</v>
      </c>
    </row>
    <row r="81" spans="1:5" x14ac:dyDescent="0.25">
      <c r="A81" t="s">
        <v>45</v>
      </c>
      <c r="B81" t="s">
        <v>1453</v>
      </c>
      <c r="C81" t="s">
        <v>1405</v>
      </c>
      <c r="D81" t="s">
        <v>1386</v>
      </c>
      <c r="E81">
        <v>10</v>
      </c>
    </row>
    <row r="82" spans="1:5" x14ac:dyDescent="0.25">
      <c r="A82" t="s">
        <v>45</v>
      </c>
      <c r="B82" t="s">
        <v>1453</v>
      </c>
      <c r="C82" t="s">
        <v>1406</v>
      </c>
      <c r="D82" t="s">
        <v>1386</v>
      </c>
      <c r="E82">
        <v>10</v>
      </c>
    </row>
    <row r="83" spans="1:5" x14ac:dyDescent="0.25">
      <c r="A83" t="s">
        <v>45</v>
      </c>
      <c r="B83" t="s">
        <v>1454</v>
      </c>
      <c r="C83" t="s">
        <v>1405</v>
      </c>
      <c r="D83" t="s">
        <v>1386</v>
      </c>
      <c r="E83">
        <v>10</v>
      </c>
    </row>
    <row r="84" spans="1:5" x14ac:dyDescent="0.25">
      <c r="A84" t="s">
        <v>45</v>
      </c>
      <c r="B84" t="s">
        <v>1454</v>
      </c>
      <c r="C84" t="s">
        <v>1406</v>
      </c>
      <c r="D84" t="s">
        <v>1386</v>
      </c>
      <c r="E84">
        <v>10</v>
      </c>
    </row>
    <row r="85" spans="1:5" x14ac:dyDescent="0.25">
      <c r="A85" t="s">
        <v>45</v>
      </c>
      <c r="B85" t="s">
        <v>1455</v>
      </c>
      <c r="C85" t="s">
        <v>1405</v>
      </c>
      <c r="D85" t="s">
        <v>1386</v>
      </c>
      <c r="E85">
        <v>10</v>
      </c>
    </row>
    <row r="86" spans="1:5" x14ac:dyDescent="0.25">
      <c r="A86" t="s">
        <v>45</v>
      </c>
      <c r="B86" t="s">
        <v>1455</v>
      </c>
      <c r="C86" t="s">
        <v>1406</v>
      </c>
      <c r="D86" t="s">
        <v>1386</v>
      </c>
      <c r="E86">
        <v>10</v>
      </c>
    </row>
    <row r="87" spans="1:5" x14ac:dyDescent="0.25">
      <c r="A87" t="s">
        <v>45</v>
      </c>
      <c r="B87" t="s">
        <v>1456</v>
      </c>
      <c r="C87" t="s">
        <v>1420</v>
      </c>
      <c r="D87" t="s">
        <v>1386</v>
      </c>
      <c r="E87">
        <v>10</v>
      </c>
    </row>
    <row r="88" spans="1:5" x14ac:dyDescent="0.25">
      <c r="A88" t="s">
        <v>45</v>
      </c>
      <c r="B88" t="s">
        <v>1457</v>
      </c>
      <c r="C88" t="s">
        <v>1406</v>
      </c>
      <c r="D88" t="s">
        <v>1386</v>
      </c>
      <c r="E88">
        <v>25</v>
      </c>
    </row>
    <row r="89" spans="1:5" x14ac:dyDescent="0.25">
      <c r="A89" t="s">
        <v>45</v>
      </c>
      <c r="B89" t="s">
        <v>1458</v>
      </c>
      <c r="C89" t="s">
        <v>1392</v>
      </c>
      <c r="D89" t="s">
        <v>1386</v>
      </c>
      <c r="E89">
        <v>150</v>
      </c>
    </row>
    <row r="90" spans="1:5" x14ac:dyDescent="0.25">
      <c r="A90" t="s">
        <v>45</v>
      </c>
      <c r="B90" t="s">
        <v>1458</v>
      </c>
      <c r="C90" t="s">
        <v>1418</v>
      </c>
      <c r="D90" t="s">
        <v>1386</v>
      </c>
      <c r="E90">
        <v>50</v>
      </c>
    </row>
    <row r="91" spans="1:5" x14ac:dyDescent="0.25">
      <c r="A91" t="s">
        <v>45</v>
      </c>
      <c r="B91" t="s">
        <v>1458</v>
      </c>
      <c r="C91" t="s">
        <v>1402</v>
      </c>
      <c r="D91" t="s">
        <v>1386</v>
      </c>
      <c r="E91">
        <v>150</v>
      </c>
    </row>
    <row r="92" spans="1:5" x14ac:dyDescent="0.25">
      <c r="A92" t="s">
        <v>45</v>
      </c>
      <c r="B92" t="s">
        <v>1459</v>
      </c>
      <c r="C92" t="s">
        <v>1406</v>
      </c>
      <c r="D92" t="s">
        <v>1386</v>
      </c>
      <c r="E92">
        <v>10</v>
      </c>
    </row>
    <row r="93" spans="1:5" x14ac:dyDescent="0.25">
      <c r="A93" t="s">
        <v>45</v>
      </c>
      <c r="B93" t="s">
        <v>1460</v>
      </c>
      <c r="C93" t="s">
        <v>1406</v>
      </c>
      <c r="D93" t="s">
        <v>1386</v>
      </c>
      <c r="E93">
        <v>10</v>
      </c>
    </row>
    <row r="94" spans="1:5" x14ac:dyDescent="0.25">
      <c r="A94" t="s">
        <v>45</v>
      </c>
      <c r="B94" t="s">
        <v>1461</v>
      </c>
      <c r="C94" t="s">
        <v>1406</v>
      </c>
      <c r="D94" t="s">
        <v>1386</v>
      </c>
      <c r="E94">
        <v>10</v>
      </c>
    </row>
    <row r="95" spans="1:5" x14ac:dyDescent="0.25">
      <c r="A95" t="s">
        <v>45</v>
      </c>
      <c r="B95" t="s">
        <v>1462</v>
      </c>
      <c r="C95" t="s">
        <v>1392</v>
      </c>
      <c r="D95" t="s">
        <v>1386</v>
      </c>
      <c r="E95">
        <v>500</v>
      </c>
    </row>
    <row r="96" spans="1:5" x14ac:dyDescent="0.25">
      <c r="A96" t="s">
        <v>45</v>
      </c>
      <c r="B96" t="s">
        <v>1462</v>
      </c>
      <c r="C96" t="s">
        <v>1418</v>
      </c>
      <c r="D96" t="s">
        <v>1386</v>
      </c>
      <c r="E96">
        <v>50</v>
      </c>
    </row>
    <row r="97" spans="1:5" x14ac:dyDescent="0.25">
      <c r="A97" t="s">
        <v>45</v>
      </c>
      <c r="B97" t="s">
        <v>1463</v>
      </c>
      <c r="C97" t="s">
        <v>1392</v>
      </c>
      <c r="D97" t="s">
        <v>1464</v>
      </c>
      <c r="E97">
        <v>200</v>
      </c>
    </row>
    <row r="98" spans="1:5" x14ac:dyDescent="0.25">
      <c r="A98" t="s">
        <v>45</v>
      </c>
      <c r="B98" t="s">
        <v>1463</v>
      </c>
      <c r="C98" t="s">
        <v>1418</v>
      </c>
      <c r="D98" t="s">
        <v>1464</v>
      </c>
      <c r="E98">
        <v>100</v>
      </c>
    </row>
    <row r="99" spans="1:5" x14ac:dyDescent="0.25">
      <c r="A99" t="s">
        <v>45</v>
      </c>
      <c r="B99" t="s">
        <v>1465</v>
      </c>
      <c r="C99" t="s">
        <v>1392</v>
      </c>
      <c r="D99" t="s">
        <v>1386</v>
      </c>
      <c r="E99">
        <v>150</v>
      </c>
    </row>
    <row r="100" spans="1:5" x14ac:dyDescent="0.25">
      <c r="A100" t="s">
        <v>45</v>
      </c>
      <c r="B100" t="s">
        <v>1465</v>
      </c>
      <c r="C100" t="s">
        <v>1418</v>
      </c>
      <c r="D100" t="s">
        <v>1386</v>
      </c>
      <c r="E100">
        <v>50</v>
      </c>
    </row>
    <row r="101" spans="1:5" x14ac:dyDescent="0.25">
      <c r="A101" t="s">
        <v>45</v>
      </c>
      <c r="B101" t="s">
        <v>1466</v>
      </c>
      <c r="C101" t="s">
        <v>1392</v>
      </c>
      <c r="D101" t="s">
        <v>1386</v>
      </c>
      <c r="E101">
        <v>150</v>
      </c>
    </row>
    <row r="102" spans="1:5" x14ac:dyDescent="0.25">
      <c r="A102" t="s">
        <v>45</v>
      </c>
      <c r="B102" t="s">
        <v>1466</v>
      </c>
      <c r="C102" t="s">
        <v>1418</v>
      </c>
      <c r="D102" t="s">
        <v>1386</v>
      </c>
      <c r="E102">
        <v>50</v>
      </c>
    </row>
    <row r="103" spans="1:5" x14ac:dyDescent="0.25">
      <c r="A103" t="s">
        <v>45</v>
      </c>
      <c r="B103" t="s">
        <v>1467</v>
      </c>
      <c r="C103" t="s">
        <v>1392</v>
      </c>
      <c r="D103" t="s">
        <v>1386</v>
      </c>
      <c r="E103">
        <v>150</v>
      </c>
    </row>
    <row r="104" spans="1:5" x14ac:dyDescent="0.25">
      <c r="A104" t="s">
        <v>45</v>
      </c>
      <c r="B104" t="s">
        <v>1467</v>
      </c>
      <c r="C104" t="s">
        <v>1418</v>
      </c>
      <c r="D104" t="s">
        <v>1386</v>
      </c>
      <c r="E104">
        <v>50</v>
      </c>
    </row>
    <row r="105" spans="1:5" x14ac:dyDescent="0.25">
      <c r="A105" t="s">
        <v>45</v>
      </c>
      <c r="B105" t="s">
        <v>1468</v>
      </c>
      <c r="C105" t="s">
        <v>1469</v>
      </c>
      <c r="D105" t="s">
        <v>1386</v>
      </c>
      <c r="E105">
        <v>10</v>
      </c>
    </row>
    <row r="106" spans="1:5" x14ac:dyDescent="0.25">
      <c r="A106" t="s">
        <v>45</v>
      </c>
      <c r="B106" t="s">
        <v>1470</v>
      </c>
      <c r="C106" t="s">
        <v>1392</v>
      </c>
      <c r="D106" t="s">
        <v>1386</v>
      </c>
      <c r="E106">
        <v>50</v>
      </c>
    </row>
    <row r="107" spans="1:5" x14ac:dyDescent="0.25">
      <c r="A107" t="s">
        <v>45</v>
      </c>
      <c r="B107" t="s">
        <v>1471</v>
      </c>
      <c r="C107" t="s">
        <v>1420</v>
      </c>
      <c r="D107" t="s">
        <v>1386</v>
      </c>
      <c r="E107">
        <v>10</v>
      </c>
    </row>
    <row r="108" spans="1:5" x14ac:dyDescent="0.25">
      <c r="A108" t="s">
        <v>45</v>
      </c>
      <c r="B108" t="s">
        <v>1472</v>
      </c>
      <c r="C108" t="s">
        <v>1392</v>
      </c>
      <c r="D108" t="s">
        <v>1386</v>
      </c>
      <c r="E108">
        <v>150</v>
      </c>
    </row>
    <row r="109" spans="1:5" x14ac:dyDescent="0.25">
      <c r="A109" t="s">
        <v>45</v>
      </c>
      <c r="B109" t="s">
        <v>1472</v>
      </c>
      <c r="C109" t="s">
        <v>1473</v>
      </c>
      <c r="D109" t="s">
        <v>1386</v>
      </c>
      <c r="E109">
        <v>250</v>
      </c>
    </row>
    <row r="110" spans="1:5" x14ac:dyDescent="0.25">
      <c r="A110" t="s">
        <v>45</v>
      </c>
      <c r="B110" t="s">
        <v>1472</v>
      </c>
      <c r="C110" t="s">
        <v>1418</v>
      </c>
      <c r="D110" t="s">
        <v>1386</v>
      </c>
      <c r="E110">
        <v>50</v>
      </c>
    </row>
    <row r="111" spans="1:5" x14ac:dyDescent="0.25">
      <c r="A111" t="s">
        <v>45</v>
      </c>
      <c r="B111" t="s">
        <v>1474</v>
      </c>
      <c r="C111" t="s">
        <v>1420</v>
      </c>
      <c r="D111" t="s">
        <v>1386</v>
      </c>
      <c r="E111">
        <v>50</v>
      </c>
    </row>
    <row r="112" spans="1:5" x14ac:dyDescent="0.25">
      <c r="A112" t="s">
        <v>45</v>
      </c>
      <c r="B112" t="s">
        <v>1475</v>
      </c>
      <c r="C112" t="s">
        <v>1420</v>
      </c>
      <c r="D112" t="s">
        <v>1386</v>
      </c>
      <c r="E112">
        <v>50</v>
      </c>
    </row>
    <row r="113" spans="1:5" x14ac:dyDescent="0.25">
      <c r="A113" t="s">
        <v>45</v>
      </c>
      <c r="B113" t="s">
        <v>1476</v>
      </c>
      <c r="C113" t="s">
        <v>1420</v>
      </c>
      <c r="D113" t="s">
        <v>1386</v>
      </c>
      <c r="E113">
        <v>50</v>
      </c>
    </row>
    <row r="114" spans="1:5" x14ac:dyDescent="0.25">
      <c r="A114" t="s">
        <v>45</v>
      </c>
      <c r="B114" t="s">
        <v>1477</v>
      </c>
      <c r="C114" t="s">
        <v>1420</v>
      </c>
      <c r="D114" t="s">
        <v>1386</v>
      </c>
      <c r="E114">
        <v>50</v>
      </c>
    </row>
    <row r="115" spans="1:5" x14ac:dyDescent="0.25">
      <c r="A115" t="s">
        <v>45</v>
      </c>
      <c r="B115" t="s">
        <v>1478</v>
      </c>
      <c r="C115" t="s">
        <v>1420</v>
      </c>
      <c r="D115" t="s">
        <v>1386</v>
      </c>
      <c r="E115">
        <v>50</v>
      </c>
    </row>
    <row r="116" spans="1:5" x14ac:dyDescent="0.25">
      <c r="A116" t="s">
        <v>45</v>
      </c>
      <c r="B116" t="s">
        <v>1479</v>
      </c>
      <c r="C116" t="s">
        <v>1392</v>
      </c>
      <c r="D116" t="s">
        <v>1386</v>
      </c>
      <c r="E116">
        <v>150</v>
      </c>
    </row>
    <row r="117" spans="1:5" x14ac:dyDescent="0.25">
      <c r="A117" t="s">
        <v>45</v>
      </c>
      <c r="B117" t="s">
        <v>1479</v>
      </c>
      <c r="C117" t="s">
        <v>1418</v>
      </c>
      <c r="D117" t="s">
        <v>1386</v>
      </c>
      <c r="E117">
        <v>50</v>
      </c>
    </row>
    <row r="118" spans="1:5" x14ac:dyDescent="0.25">
      <c r="A118" t="s">
        <v>45</v>
      </c>
      <c r="B118" t="s">
        <v>1480</v>
      </c>
      <c r="C118" t="s">
        <v>1392</v>
      </c>
      <c r="D118" t="s">
        <v>1386</v>
      </c>
      <c r="E118">
        <v>150</v>
      </c>
    </row>
    <row r="119" spans="1:5" x14ac:dyDescent="0.25">
      <c r="A119" t="s">
        <v>45</v>
      </c>
      <c r="B119" t="s">
        <v>1480</v>
      </c>
      <c r="C119" t="s">
        <v>1418</v>
      </c>
      <c r="D119" t="s">
        <v>1386</v>
      </c>
      <c r="E119">
        <v>50</v>
      </c>
    </row>
    <row r="120" spans="1:5" x14ac:dyDescent="0.25">
      <c r="A120" t="s">
        <v>45</v>
      </c>
      <c r="B120" t="s">
        <v>1481</v>
      </c>
      <c r="C120" t="s">
        <v>1392</v>
      </c>
      <c r="D120" t="s">
        <v>1386</v>
      </c>
      <c r="E120">
        <v>150</v>
      </c>
    </row>
    <row r="121" spans="1:5" x14ac:dyDescent="0.25">
      <c r="A121" t="s">
        <v>45</v>
      </c>
      <c r="B121" t="s">
        <v>1481</v>
      </c>
      <c r="C121" t="s">
        <v>1418</v>
      </c>
      <c r="D121" t="s">
        <v>1386</v>
      </c>
      <c r="E121">
        <v>50</v>
      </c>
    </row>
    <row r="122" spans="1:5" x14ac:dyDescent="0.25">
      <c r="A122" t="s">
        <v>45</v>
      </c>
      <c r="B122" t="s">
        <v>1482</v>
      </c>
      <c r="C122" t="s">
        <v>1483</v>
      </c>
      <c r="D122" t="s">
        <v>1386</v>
      </c>
      <c r="E122">
        <v>500</v>
      </c>
    </row>
    <row r="123" spans="1:5" x14ac:dyDescent="0.25">
      <c r="A123" t="s">
        <v>45</v>
      </c>
      <c r="B123" t="s">
        <v>1482</v>
      </c>
      <c r="C123" t="s">
        <v>1484</v>
      </c>
      <c r="D123" t="s">
        <v>1386</v>
      </c>
      <c r="E123">
        <v>250</v>
      </c>
    </row>
    <row r="124" spans="1:5" x14ac:dyDescent="0.25">
      <c r="A124" t="s">
        <v>45</v>
      </c>
      <c r="B124" t="s">
        <v>1482</v>
      </c>
      <c r="C124" t="s">
        <v>1485</v>
      </c>
      <c r="D124" t="s">
        <v>1386</v>
      </c>
      <c r="E124">
        <v>25</v>
      </c>
    </row>
    <row r="125" spans="1:5" x14ac:dyDescent="0.25">
      <c r="A125" t="s">
        <v>45</v>
      </c>
      <c r="B125" t="s">
        <v>1486</v>
      </c>
      <c r="C125" t="s">
        <v>1420</v>
      </c>
      <c r="D125" t="s">
        <v>1386</v>
      </c>
      <c r="E125">
        <v>25</v>
      </c>
    </row>
    <row r="126" spans="1:5" x14ac:dyDescent="0.25">
      <c r="A126" t="s">
        <v>45</v>
      </c>
      <c r="B126" t="s">
        <v>1487</v>
      </c>
      <c r="C126" t="s">
        <v>1488</v>
      </c>
      <c r="D126" t="s">
        <v>1386</v>
      </c>
      <c r="E126">
        <v>30</v>
      </c>
    </row>
    <row r="127" spans="1:5" x14ac:dyDescent="0.25">
      <c r="A127" t="s">
        <v>45</v>
      </c>
      <c r="B127" t="s">
        <v>1489</v>
      </c>
      <c r="C127" t="s">
        <v>1490</v>
      </c>
      <c r="D127" t="s">
        <v>1386</v>
      </c>
      <c r="E127">
        <v>30</v>
      </c>
    </row>
    <row r="128" spans="1:5" x14ac:dyDescent="0.25">
      <c r="A128" t="s">
        <v>45</v>
      </c>
      <c r="B128" t="s">
        <v>1489</v>
      </c>
      <c r="C128" t="s">
        <v>1491</v>
      </c>
      <c r="D128" t="s">
        <v>1386</v>
      </c>
      <c r="E128">
        <v>30</v>
      </c>
    </row>
    <row r="129" spans="1:5" x14ac:dyDescent="0.25">
      <c r="A129" t="s">
        <v>45</v>
      </c>
      <c r="B129" t="s">
        <v>1492</v>
      </c>
      <c r="C129" t="s">
        <v>1488</v>
      </c>
      <c r="D129" t="s">
        <v>1386</v>
      </c>
      <c r="E129">
        <v>30</v>
      </c>
    </row>
    <row r="130" spans="1:5" x14ac:dyDescent="0.25">
      <c r="A130" t="s">
        <v>45</v>
      </c>
      <c r="B130" t="s">
        <v>1493</v>
      </c>
      <c r="C130" t="s">
        <v>1488</v>
      </c>
      <c r="D130" t="s">
        <v>1386</v>
      </c>
      <c r="E130">
        <v>30</v>
      </c>
    </row>
    <row r="131" spans="1:5" x14ac:dyDescent="0.25">
      <c r="A131" t="s">
        <v>45</v>
      </c>
      <c r="B131" t="s">
        <v>1494</v>
      </c>
      <c r="C131" t="s">
        <v>1490</v>
      </c>
      <c r="D131" t="s">
        <v>1386</v>
      </c>
      <c r="E131">
        <v>30</v>
      </c>
    </row>
    <row r="132" spans="1:5" x14ac:dyDescent="0.25">
      <c r="A132" t="s">
        <v>45</v>
      </c>
      <c r="B132" t="s">
        <v>1494</v>
      </c>
      <c r="C132" t="s">
        <v>1491</v>
      </c>
      <c r="D132" t="s">
        <v>1386</v>
      </c>
      <c r="E132">
        <v>30</v>
      </c>
    </row>
    <row r="133" spans="1:5" x14ac:dyDescent="0.25">
      <c r="A133" t="s">
        <v>45</v>
      </c>
      <c r="B133" t="s">
        <v>1495</v>
      </c>
      <c r="C133" t="s">
        <v>1406</v>
      </c>
      <c r="D133" t="s">
        <v>1386</v>
      </c>
      <c r="E133">
        <v>50</v>
      </c>
    </row>
    <row r="134" spans="1:5" x14ac:dyDescent="0.25">
      <c r="A134" t="s">
        <v>45</v>
      </c>
      <c r="B134" t="s">
        <v>1496</v>
      </c>
      <c r="C134" t="s">
        <v>1406</v>
      </c>
      <c r="D134" t="s">
        <v>1386</v>
      </c>
      <c r="E134">
        <v>50</v>
      </c>
    </row>
    <row r="135" spans="1:5" x14ac:dyDescent="0.25">
      <c r="A135" t="s">
        <v>45</v>
      </c>
      <c r="B135" t="s">
        <v>1497</v>
      </c>
      <c r="C135" t="s">
        <v>1498</v>
      </c>
      <c r="D135" t="s">
        <v>1386</v>
      </c>
      <c r="E135">
        <v>10</v>
      </c>
    </row>
    <row r="136" spans="1:5" x14ac:dyDescent="0.25">
      <c r="A136" t="s">
        <v>45</v>
      </c>
      <c r="B136" t="s">
        <v>1499</v>
      </c>
      <c r="C136" t="s">
        <v>1498</v>
      </c>
      <c r="D136" t="s">
        <v>1386</v>
      </c>
      <c r="E136">
        <v>10</v>
      </c>
    </row>
    <row r="137" spans="1:5" x14ac:dyDescent="0.25">
      <c r="A137" t="s">
        <v>45</v>
      </c>
      <c r="B137" t="s">
        <v>1500</v>
      </c>
      <c r="C137" t="s">
        <v>1498</v>
      </c>
      <c r="D137" t="s">
        <v>1386</v>
      </c>
      <c r="E137">
        <v>10</v>
      </c>
    </row>
    <row r="138" spans="1:5" x14ac:dyDescent="0.25">
      <c r="A138" t="s">
        <v>45</v>
      </c>
      <c r="B138" t="s">
        <v>1501</v>
      </c>
      <c r="C138" t="s">
        <v>1498</v>
      </c>
      <c r="D138" t="s">
        <v>1386</v>
      </c>
      <c r="E138">
        <v>10</v>
      </c>
    </row>
    <row r="139" spans="1:5" x14ac:dyDescent="0.25">
      <c r="A139" t="s">
        <v>45</v>
      </c>
      <c r="B139" t="s">
        <v>1502</v>
      </c>
      <c r="C139" t="s">
        <v>1498</v>
      </c>
      <c r="D139" t="s">
        <v>1386</v>
      </c>
      <c r="E139">
        <v>10</v>
      </c>
    </row>
    <row r="140" spans="1:5" x14ac:dyDescent="0.25">
      <c r="A140" t="s">
        <v>45</v>
      </c>
      <c r="B140" t="s">
        <v>1503</v>
      </c>
      <c r="C140" t="s">
        <v>1498</v>
      </c>
      <c r="D140" t="s">
        <v>1386</v>
      </c>
      <c r="E140">
        <v>10</v>
      </c>
    </row>
    <row r="141" spans="1:5" x14ac:dyDescent="0.25">
      <c r="A141" t="s">
        <v>45</v>
      </c>
      <c r="B141" t="s">
        <v>1504</v>
      </c>
      <c r="C141" t="s">
        <v>1505</v>
      </c>
      <c r="D141" t="s">
        <v>1386</v>
      </c>
      <c r="E141">
        <v>10</v>
      </c>
    </row>
    <row r="142" spans="1:5" x14ac:dyDescent="0.25">
      <c r="A142" t="s">
        <v>45</v>
      </c>
      <c r="B142" t="s">
        <v>1506</v>
      </c>
      <c r="C142" t="s">
        <v>1505</v>
      </c>
      <c r="D142" t="s">
        <v>1386</v>
      </c>
      <c r="E142">
        <v>10</v>
      </c>
    </row>
    <row r="143" spans="1:5" x14ac:dyDescent="0.25">
      <c r="A143" t="s">
        <v>45</v>
      </c>
      <c r="B143" t="s">
        <v>1507</v>
      </c>
      <c r="C143" t="s">
        <v>1392</v>
      </c>
      <c r="D143" t="s">
        <v>1386</v>
      </c>
      <c r="E143">
        <v>250</v>
      </c>
    </row>
    <row r="144" spans="1:5" x14ac:dyDescent="0.25">
      <c r="A144" t="s">
        <v>45</v>
      </c>
      <c r="B144" t="s">
        <v>1507</v>
      </c>
      <c r="C144" t="s">
        <v>1473</v>
      </c>
      <c r="D144" t="s">
        <v>1386</v>
      </c>
      <c r="E144">
        <v>50</v>
      </c>
    </row>
    <row r="145" spans="1:5" x14ac:dyDescent="0.25">
      <c r="A145" t="s">
        <v>45</v>
      </c>
      <c r="B145" t="s">
        <v>1508</v>
      </c>
      <c r="C145" t="s">
        <v>1498</v>
      </c>
      <c r="D145" t="s">
        <v>1386</v>
      </c>
      <c r="E145">
        <v>20</v>
      </c>
    </row>
    <row r="146" spans="1:5" x14ac:dyDescent="0.25">
      <c r="A146" t="s">
        <v>45</v>
      </c>
      <c r="B146" t="s">
        <v>1509</v>
      </c>
      <c r="C146" t="s">
        <v>1405</v>
      </c>
      <c r="D146" t="s">
        <v>1386</v>
      </c>
      <c r="E146">
        <v>50</v>
      </c>
    </row>
    <row r="147" spans="1:5" x14ac:dyDescent="0.25">
      <c r="A147" t="s">
        <v>45</v>
      </c>
      <c r="B147" t="s">
        <v>1510</v>
      </c>
      <c r="C147" t="s">
        <v>1511</v>
      </c>
      <c r="D147" t="s">
        <v>1386</v>
      </c>
      <c r="E147">
        <v>5</v>
      </c>
    </row>
    <row r="148" spans="1:5" x14ac:dyDescent="0.25">
      <c r="A148" t="s">
        <v>45</v>
      </c>
      <c r="B148" t="s">
        <v>1512</v>
      </c>
      <c r="C148" t="s">
        <v>1392</v>
      </c>
      <c r="D148" t="s">
        <v>1386</v>
      </c>
      <c r="E148">
        <v>50</v>
      </c>
    </row>
    <row r="149" spans="1:5" x14ac:dyDescent="0.25">
      <c r="A149" t="s">
        <v>45</v>
      </c>
      <c r="B149" t="s">
        <v>1513</v>
      </c>
      <c r="C149" t="s">
        <v>1392</v>
      </c>
      <c r="D149" t="s">
        <v>1386</v>
      </c>
      <c r="E149">
        <v>150</v>
      </c>
    </row>
    <row r="150" spans="1:5" x14ac:dyDescent="0.25">
      <c r="A150" t="s">
        <v>45</v>
      </c>
      <c r="B150" t="s">
        <v>1514</v>
      </c>
      <c r="C150" t="s">
        <v>1392</v>
      </c>
      <c r="D150" t="s">
        <v>1386</v>
      </c>
      <c r="E150">
        <v>50</v>
      </c>
    </row>
    <row r="151" spans="1:5" x14ac:dyDescent="0.25">
      <c r="A151" t="s">
        <v>45</v>
      </c>
      <c r="B151" t="s">
        <v>1515</v>
      </c>
      <c r="C151" t="s">
        <v>1392</v>
      </c>
      <c r="D151" t="s">
        <v>1386</v>
      </c>
      <c r="E151">
        <v>50</v>
      </c>
    </row>
  </sheetData>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Matrix Summary</vt:lpstr>
      <vt:lpstr>Migration Matrix</vt:lpstr>
      <vt:lpstr>Sheet1</vt:lpstr>
      <vt:lpstr>Sheet6</vt:lpstr>
      <vt:lpstr>Sheet2</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Dees, Robert [VISUS]</dc:creator>
  <cp:keywords/>
  <dc:description/>
  <cp:lastModifiedBy>Dees, Robert [VISUS]</cp:lastModifiedBy>
  <cp:revision/>
  <dcterms:created xsi:type="dcterms:W3CDTF">2026-09-22T15:28:16Z</dcterms:created>
  <dcterms:modified xsi:type="dcterms:W3CDTF">2026-09-22T17:32:50Z</dcterms:modified>
  <cp:category/>
  <cp:contentStatus/>
</cp:coreProperties>
</file>